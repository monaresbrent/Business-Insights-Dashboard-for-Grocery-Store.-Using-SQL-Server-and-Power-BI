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8932666-97BC-4C78-B3EC-C790ADCED3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1" r:id="rId1"/>
    <sheet name="My Insights Tables" sheetId="2" r:id="rId2"/>
    <sheet name="ALL CLEAN TABLES" sheetId="3" r:id="rId3"/>
    <sheet name="PIVOT TABLES" sheetId="4" r:id="rId4"/>
    <sheet name="Data" sheetId="5" r:id="rId5"/>
    <sheet name="Calc" sheetId="6" state="hidden" r:id="rId6"/>
  </sheets>
  <definedNames>
    <definedName name="Z_006DE8DA_C6B8_48B7_BA83_319F64B56447_.wvu.FilterData" localSheetId="2" hidden="1">'ALL CLEAN TABLES'!$A$19:$D$29</definedName>
    <definedName name="Z_1E75E658_BA77_4487_9C93_8C7B5151DB6B_.wvu.FilterData" localSheetId="1" hidden="1">'My Insights Tables'!$G$16:$H$19</definedName>
    <definedName name="Z_270E1B14_D480_4E02_A312_0F0614ADDB82_.wvu.FilterData" localSheetId="4" hidden="1">Data!$A$1:$J$31</definedName>
    <definedName name="Z_5E9FE6B5_B118_427C_B522_AC8EB8B1C78A_.wvu.FilterData" localSheetId="2" hidden="1">'ALL CLEAN TABLES'!$A$35:$E$65</definedName>
    <definedName name="Z_61B23019_B46B_43B4_BC30_6F69472095B8_.wvu.FilterData" localSheetId="1" hidden="1">'My Insights Tables'!$A$21:$C$31</definedName>
    <definedName name="Z_78325354_1D1E_4893_9067_CC1C3F57501F_.wvu.FilterData" localSheetId="2" hidden="1">'ALL CLEAN TABLES'!$A$4:$C$14</definedName>
    <definedName name="Z_A6F146C8_4197_475C_AD98_6F1D3D664C3D_.wvu.FilterData" localSheetId="1" hidden="1">'My Insights Tables'!$A$6:$B$16</definedName>
    <definedName name="Z_AFEA2FDD_5815_47CA_A46E_35BC878B4A61_.wvu.FilterData" localSheetId="1" hidden="1">'My Insights Tables'!$G$6:$H$11</definedName>
    <definedName name="Z_E2481CE4_EAA6_472D_B9CB_0EF40FA0FFED_.wvu.FilterData" localSheetId="1" hidden="1">'My Insights Tables'!$A$36:$B$41</definedName>
  </definedNames>
  <calcPr calcId="191029" iterateDelta="1E-4"/>
  <customWorkbookViews>
    <customWorkbookView name="Table2 filter view" guid="{006DE8DA-C6B8-48B7-BA83-319F64B56447}" maximized="1" windowWidth="0" windowHeight="0" activeSheetId="0"/>
    <customWorkbookView name="Table8 filter view" guid="{E2481CE4-EAA6-472D-B9CB-0EF40FA0FFED}" maximized="1" windowWidth="0" windowHeight="0" activeSheetId="0"/>
    <customWorkbookView name="Table11 filter view" guid="{270E1B14-D480-4E02-A312-0F0614ADDB82}" maximized="1" windowWidth="0" windowHeight="0" activeSheetId="0"/>
    <customWorkbookView name="Table10 filter view" guid="{1E75E658-BA77-4487-9C93-8C7B5151DB6B}" maximized="1" windowWidth="0" windowHeight="0" activeSheetId="0"/>
    <customWorkbookView name="Table9 filter view" guid="{AFEA2FDD-5815-47CA-A46E-35BC878B4A61}" maximized="1" windowWidth="0" windowHeight="0" activeSheetId="0"/>
    <customWorkbookView name="Table6 filter view" guid="{61B23019-B46B-43B4-BC30-6F69472095B8}" maximized="1" windowWidth="0" windowHeight="0" activeSheetId="0"/>
    <customWorkbookView name="Table1 filter view" guid="{78325354-1D1E-4893-9067-CC1C3F57501F}" maximized="1" windowWidth="0" windowHeight="0" activeSheetId="0"/>
    <customWorkbookView name="Table5 filter view" guid="{A6F146C8-4197-475C-AD98-6F1D3D664C3D}" maximized="1" windowWidth="0" windowHeight="0" activeSheetId="0"/>
    <customWorkbookView name="Table3 filter view" guid="{5E9FE6B5-B118-427C-B522-AC8EB8B1C78A}" maximized="1" windowWidth="0" windowHeight="0" activeSheetId="0"/>
  </customWorkbookViews>
  <pivotCaches>
    <pivotCache cacheId="8" r:id="rId7"/>
    <pivotCache cacheId="11" r:id="rId8"/>
    <pivotCache cacheId="1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YhF12hw+PX9gVz57ECOd8yYQT9qToQkUb5z7BbOhtUY="/>
    </ext>
  </extLst>
</workbook>
</file>

<file path=xl/calcChain.xml><?xml version="1.0" encoding="utf-8"?>
<calcChain xmlns="http://schemas.openxmlformats.org/spreadsheetml/2006/main">
  <c r="B11" i="6" l="1"/>
  <c r="H2" i="6"/>
  <c r="J31" i="5"/>
  <c r="J30" i="5"/>
  <c r="J29" i="5"/>
  <c r="J28" i="5"/>
  <c r="J27" i="5"/>
  <c r="J26" i="5"/>
  <c r="J25" i="5"/>
  <c r="J24" i="5"/>
  <c r="J23" i="5"/>
  <c r="J22" i="5"/>
  <c r="H4" i="6" s="1"/>
  <c r="J21" i="5"/>
  <c r="J20" i="5"/>
  <c r="J19" i="5"/>
  <c r="J18" i="5"/>
  <c r="B9" i="6" s="1"/>
  <c r="J17" i="5"/>
  <c r="K5" i="6" s="1"/>
  <c r="J16" i="5"/>
  <c r="J15" i="5"/>
  <c r="J14" i="5"/>
  <c r="H3" i="6" s="1"/>
  <c r="J13" i="5"/>
  <c r="J12" i="5"/>
  <c r="K3" i="6" s="1"/>
  <c r="J11" i="5"/>
  <c r="B6" i="6" s="1"/>
  <c r="J10" i="5"/>
  <c r="K6" i="6" s="1"/>
  <c r="J9" i="5"/>
  <c r="K8" i="6" s="1"/>
  <c r="J8" i="5"/>
  <c r="J7" i="5"/>
  <c r="K11" i="6" s="1"/>
  <c r="J6" i="5"/>
  <c r="K10" i="6" s="1"/>
  <c r="J5" i="5"/>
  <c r="E5" i="6" s="1"/>
  <c r="J4" i="5"/>
  <c r="K4" i="6" s="1"/>
  <c r="J3" i="5"/>
  <c r="K7" i="6" s="1"/>
  <c r="J2" i="5"/>
  <c r="K9" i="6" s="1"/>
  <c r="G11" i="1"/>
  <c r="E11" i="1"/>
  <c r="C11" i="1"/>
  <c r="A11" i="1"/>
  <c r="B7" i="6" l="1"/>
  <c r="B2" i="6"/>
  <c r="B3" i="6"/>
  <c r="B4" i="6"/>
  <c r="B5" i="6"/>
  <c r="E6" i="6"/>
  <c r="B8" i="6"/>
  <c r="B10" i="6"/>
  <c r="E2" i="6"/>
  <c r="E3" i="6"/>
  <c r="E4" i="6"/>
  <c r="K2" i="6"/>
</calcChain>
</file>

<file path=xl/sharedStrings.xml><?xml version="1.0" encoding="utf-8"?>
<sst xmlns="http://schemas.openxmlformats.org/spreadsheetml/2006/main" count="369" uniqueCount="97">
  <si>
    <t>SALES DASHBOARD</t>
  </si>
  <si>
    <t>FILTERS</t>
  </si>
  <si>
    <t>Month:</t>
  </si>
  <si>
    <t>All</t>
  </si>
  <si>
    <t>Category:</t>
  </si>
  <si>
    <t>Customer:</t>
  </si>
  <si>
    <t>TOTAL SALES</t>
  </si>
  <si>
    <t>TOTAL ORDERS</t>
  </si>
  <si>
    <t>CUSTOMERS</t>
  </si>
  <si>
    <t>PRODUCTS</t>
  </si>
  <si>
    <t xml:space="preserve"> Customer Name</t>
  </si>
  <si>
    <t>Total Purchases</t>
  </si>
  <si>
    <t>Product Name</t>
  </si>
  <si>
    <t>Total Sold</t>
  </si>
  <si>
    <t>Bryan Flores</t>
  </si>
  <si>
    <t>Bread</t>
  </si>
  <si>
    <t>Nicole Perez</t>
  </si>
  <si>
    <t>Soft Drinks</t>
  </si>
  <si>
    <t>Pedro Reyes</t>
  </si>
  <si>
    <t>Soap</t>
  </si>
  <si>
    <t>Carla Mendoza</t>
  </si>
  <si>
    <t>Sugar</t>
  </si>
  <si>
    <t>Angelica Cruz</t>
  </si>
  <si>
    <t>Milk</t>
  </si>
  <si>
    <t>Maria Santos</t>
  </si>
  <si>
    <t>Michael Ramos</t>
  </si>
  <si>
    <t>Juan Cruz</t>
  </si>
  <si>
    <t>Ana Lopez</t>
  </si>
  <si>
    <t>Jose Garcia</t>
  </si>
  <si>
    <t>Month</t>
  </si>
  <si>
    <t>Revenue</t>
  </si>
  <si>
    <t>January</t>
  </si>
  <si>
    <t>February</t>
  </si>
  <si>
    <t>March</t>
  </si>
  <si>
    <t>Quantity Sold</t>
  </si>
  <si>
    <t>Shampoo</t>
  </si>
  <si>
    <t>Cooking Oil</t>
  </si>
  <si>
    <t>Coffee</t>
  </si>
  <si>
    <t>Eggs</t>
  </si>
  <si>
    <t>Rice</t>
  </si>
  <si>
    <t>Category</t>
  </si>
  <si>
    <t>Bakery</t>
  </si>
  <si>
    <t>Beverages</t>
  </si>
  <si>
    <t>Drinks</t>
  </si>
  <si>
    <t>Food</t>
  </si>
  <si>
    <t>Household</t>
  </si>
  <si>
    <t>CustomerID</t>
  </si>
  <si>
    <t>CustomerName</t>
  </si>
  <si>
    <t>City</t>
  </si>
  <si>
    <t>Laguna</t>
  </si>
  <si>
    <t>Manila</t>
  </si>
  <si>
    <t>Cavite</t>
  </si>
  <si>
    <t>Batangas</t>
  </si>
  <si>
    <t>Quezon</t>
  </si>
  <si>
    <t>ProductID</t>
  </si>
  <si>
    <t>ProductName</t>
  </si>
  <si>
    <t>Price</t>
  </si>
  <si>
    <t>SaleID</t>
  </si>
  <si>
    <t>SaleDate</t>
  </si>
  <si>
    <t>Quantity</t>
  </si>
  <si>
    <t>Friday, 2 January 2026</t>
  </si>
  <si>
    <t>Saturday, 3 January 2026</t>
  </si>
  <si>
    <t>Monday, 5 January 2026</t>
  </si>
  <si>
    <t>Wednesday, 7 January 2026</t>
  </si>
  <si>
    <t>Thursday, 8 January 2026</t>
  </si>
  <si>
    <t>Saturday, 10 January 2026</t>
  </si>
  <si>
    <t>Monday, 12 January 2026</t>
  </si>
  <si>
    <t>Tuesday, 13 January 2026</t>
  </si>
  <si>
    <t>Thursday, 15 January 2026</t>
  </si>
  <si>
    <t>Friday, 16 January 2026</t>
  </si>
  <si>
    <t>Sunday, 1 February 2026</t>
  </si>
  <si>
    <t>Monday, 2 February 2026</t>
  </si>
  <si>
    <t>Tuesday, 3 February 2026</t>
  </si>
  <si>
    <t>Thursday, 5 February 2026</t>
  </si>
  <si>
    <t>Friday, 6 February 2026</t>
  </si>
  <si>
    <t>Sunday, 8 February 2026</t>
  </si>
  <si>
    <t>Monday, 9 February 2026</t>
  </si>
  <si>
    <t>Tuesday, 10 February 2026</t>
  </si>
  <si>
    <t>Thursday, 12 February 2026</t>
  </si>
  <si>
    <t>Friday, 13 February 2026</t>
  </si>
  <si>
    <t>Sunday, 1 March 2026</t>
  </si>
  <si>
    <t>Monday, 2 March 2026</t>
  </si>
  <si>
    <t>Tuesday, 3 March 2026</t>
  </si>
  <si>
    <t>Thursday, 5 March 2026</t>
  </si>
  <si>
    <t>Friday, 6 March 2026</t>
  </si>
  <si>
    <t>Sunday, 8 March 2026</t>
  </si>
  <si>
    <t>Tuesday, 10 March 2026</t>
  </si>
  <si>
    <t>Thursday, 12 March 2026</t>
  </si>
  <si>
    <t>Sunday, 15 March 2026</t>
  </si>
  <si>
    <t>Wednesday, 18 March 2026</t>
  </si>
  <si>
    <t>Sum of Total Purchases</t>
  </si>
  <si>
    <t>Sum of Quantity Sold</t>
  </si>
  <si>
    <t>Sum of Revenue</t>
  </si>
  <si>
    <t>Product</t>
  </si>
  <si>
    <t>Customer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</si>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</sst>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PHP &quot;#,##0"/>
    <numFmt numFmtId="165" formatCode="dd\ mmm\ yyyy"/>
  </numFmts>
  <fonts count="15">
    <font>
      <sz val="11"/>
      <color theme="1"/>
      <name val="Calibri"/>
      <scheme val="minor"/>
    </font>
    <font>
      <b/>
      <sz val="22"/>
      <color rgb="FFFFFFFF"/>
      <name val="Arial"/>
    </font>
    <font>
      <sz val="11"/>
      <name val="Calibri"/>
    </font>
    <font>
      <b/>
      <sz val="11"/>
      <color theme="1"/>
      <name val="Arial"/>
    </font>
    <font>
      <b/>
      <sz val="11"/>
      <color rgb="FF1F3864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b/>
      <sz val="18"/>
      <color rgb="FFFFFFFF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FFFFFF"/>
      <name val="Arial"/>
    </font>
    <font>
      <sz val="10"/>
      <color theme="1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E1F2"/>
        <bgColor rgb="FFD9E1F2"/>
      </patternFill>
    </fill>
    <fill>
      <patternFill patternType="solid">
        <fgColor rgb="FF2F5496"/>
        <bgColor rgb="FF2F5496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C6E5"/>
      </left>
      <right style="thin">
        <color rgb="FFB7C6E5"/>
      </right>
      <top style="thin">
        <color rgb="FFB7C6E5"/>
      </top>
      <bottom style="thin">
        <color rgb="FFB7C6E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4" fillId="3" borderId="7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1" fontId="10" fillId="0" borderId="0" xfId="0" applyNumberFormat="1" applyFont="1"/>
    <xf numFmtId="1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9" fontId="8" fillId="0" borderId="0" xfId="0" applyNumberFormat="1" applyFont="1" applyAlignment="1">
      <alignment vertical="center"/>
    </xf>
    <xf numFmtId="0" fontId="11" fillId="0" borderId="10" xfId="0" applyFont="1" applyBorder="1" applyAlignment="1">
      <alignment horizontal="left"/>
    </xf>
    <xf numFmtId="0" fontId="11" fillId="0" borderId="11" xfId="0" applyFont="1" applyBorder="1"/>
    <xf numFmtId="0" fontId="11" fillId="0" borderId="12" xfId="0" applyFont="1" applyBorder="1"/>
    <xf numFmtId="0" fontId="12" fillId="4" borderId="13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12" fillId="4" borderId="13" xfId="0" applyFont="1" applyFill="1" applyBorder="1"/>
    <xf numFmtId="0" fontId="14" fillId="0" borderId="0" xfId="0" applyFont="1"/>
    <xf numFmtId="3" fontId="7" fillId="4" borderId="8" xfId="0" applyNumberFormat="1" applyFont="1" applyFill="1" applyBorder="1" applyAlignment="1">
      <alignment horizontal="center"/>
    </xf>
    <xf numFmtId="0" fontId="2" fillId="0" borderId="9" xfId="0" applyFont="1" applyBorder="1"/>
    <xf numFmtId="164" fontId="7" fillId="4" borderId="8" xfId="0" applyNumberFormat="1" applyFont="1" applyFill="1" applyBorder="1" applyAlignment="1">
      <alignment horizontal="center"/>
    </xf>
    <xf numFmtId="0" fontId="8" fillId="4" borderId="8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0" xfId="0" applyFont="1"/>
    <xf numFmtId="0" fontId="0" fillId="0" borderId="0" xfId="0"/>
    <xf numFmtId="0" fontId="6" fillId="4" borderId="8" xfId="0" applyFont="1" applyFill="1" applyBorder="1" applyAlignment="1">
      <alignment horizontal="center"/>
    </xf>
    <xf numFmtId="0" fontId="0" fillId="0" borderId="14" xfId="0" pivotButton="1" applyBorder="1"/>
    <xf numFmtId="0" fontId="0" fillId="0" borderId="15" xfId="0" applyBorder="1"/>
    <xf numFmtId="0" fontId="0" fillId="0" borderId="14" xfId="0" applyBorder="1"/>
    <xf numFmtId="0" fontId="0" fillId="0" borderId="15" xfId="0" applyNumberFormat="1" applyBorder="1"/>
    <xf numFmtId="0" fontId="0" fillId="0" borderId="16" xfId="0" applyBorder="1"/>
    <xf numFmtId="0" fontId="0" fillId="0" borderId="17" xfId="0" applyNumberFormat="1" applyBorder="1"/>
    <xf numFmtId="0" fontId="0" fillId="0" borderId="18" xfId="0" applyBorder="1"/>
    <xf numFmtId="0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0" borderId="14" xfId="0" applyNumberFormat="1" applyBorder="1"/>
    <xf numFmtId="0" fontId="0" fillId="0" borderId="21" xfId="0" applyNumberFormat="1" applyBorder="1"/>
    <xf numFmtId="0" fontId="0" fillId="0" borderId="16" xfId="0" applyNumberFormat="1" applyBorder="1"/>
    <xf numFmtId="0" fontId="0" fillId="0" borderId="22" xfId="0" applyNumberFormat="1" applyBorder="1"/>
    <xf numFmtId="0" fontId="0" fillId="0" borderId="23" xfId="0" applyBorder="1"/>
    <xf numFmtId="0" fontId="0" fillId="0" borderId="23" xfId="0" applyNumberFormat="1" applyBorder="1"/>
    <xf numFmtId="0" fontId="0" fillId="0" borderId="24" xfId="0" applyNumberFormat="1" applyBorder="1"/>
  </cellXfs>
  <cellStyles count="1">
    <cellStyle name="Normal" xfId="0" builtinId="0"/>
  </cellStyles>
  <dxfs count="36"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y Insights Tables-style" pivot="0" count="4" xr9:uid="{00000000-0011-0000-FFFF-FFFF00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My Insights Tables-style 2" pivot="0" count="4" xr9:uid="{00000000-0011-0000-FFFF-FFFF01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My Insights Tables-style 3" pivot="0" count="4" xr9:uid="{00000000-0011-0000-FFFF-FFFF02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My Insights Tables-style 4" pivot="0" count="4" xr9:uid="{00000000-0011-0000-FFFF-FFFF03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My Insights Tables-style 5" pivot="0" count="4" xr9:uid="{00000000-0011-0000-FFFF-FFFF04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ALL CLEAN TABLES-style" pivot="0" count="4" xr9:uid="{00000000-0011-0000-FFFF-FFFF05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ALL CLEAN TABLES-style 2" pivot="0" count="4" xr9:uid="{00000000-0011-0000-FFFF-FFFF06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ALL CLEAN TABLES-style 3" pivot="0" count="4" xr9:uid="{00000000-0011-0000-FFFF-FFFF07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Data-style" pivot="0" count="4" xr9:uid="{00000000-0011-0000-FFFF-FFFF08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PH" sz="1800" b="1" i="0">
                <a:solidFill>
                  <a:srgbClr val="000000"/>
                </a:solidFill>
                <a:latin typeface="Calibri"/>
              </a:rPr>
              <a:t>Top Selling Products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Calc!$A$2:$A$11</c:f>
              <c:strCache>
                <c:ptCount val="10"/>
                <c:pt idx="0">
                  <c:v>Milk</c:v>
                </c:pt>
                <c:pt idx="1">
                  <c:v>Sugar</c:v>
                </c:pt>
                <c:pt idx="2">
                  <c:v>Shampoo</c:v>
                </c:pt>
                <c:pt idx="3">
                  <c:v>Soft Drinks</c:v>
                </c:pt>
                <c:pt idx="4">
                  <c:v>Cooking Oil</c:v>
                </c:pt>
                <c:pt idx="5">
                  <c:v>Bread</c:v>
                </c:pt>
                <c:pt idx="6">
                  <c:v>Coffee</c:v>
                </c:pt>
                <c:pt idx="7">
                  <c:v>Eggs</c:v>
                </c:pt>
                <c:pt idx="8">
                  <c:v>Rice</c:v>
                </c:pt>
                <c:pt idx="9">
                  <c:v>Soap</c:v>
                </c:pt>
              </c:strCache>
            </c:strRef>
          </c:cat>
          <c:val>
            <c:numRef>
              <c:f>Calc!$B$2:$B$11</c:f>
              <c:numCache>
                <c:formatCode>General</c:formatCode>
                <c:ptCount val="10"/>
                <c:pt idx="0">
                  <c:v>850</c:v>
                </c:pt>
                <c:pt idx="1">
                  <c:v>825</c:v>
                </c:pt>
                <c:pt idx="2">
                  <c:v>725</c:v>
                </c:pt>
                <c:pt idx="3">
                  <c:v>715</c:v>
                </c:pt>
                <c:pt idx="4">
                  <c:v>680</c:v>
                </c:pt>
                <c:pt idx="5">
                  <c:v>630</c:v>
                </c:pt>
                <c:pt idx="6">
                  <c:v>600</c:v>
                </c:pt>
                <c:pt idx="7">
                  <c:v>600</c:v>
                </c:pt>
                <c:pt idx="8">
                  <c:v>540</c:v>
                </c:pt>
                <c:pt idx="9">
                  <c:v>385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97-421E-866A-E5C2772A5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2844703"/>
        <c:axId val="1049379628"/>
      </c:barChart>
      <c:catAx>
        <c:axId val="1162844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i="0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49379628"/>
        <c:crosses val="autoZero"/>
        <c:auto val="1"/>
        <c:lblAlgn val="ctr"/>
        <c:lblOffset val="100"/>
        <c:noMultiLvlLbl val="1"/>
      </c:catAx>
      <c:valAx>
        <c:axId val="1049379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i="0">
                    <a:solidFill>
                      <a:srgbClr val="000000"/>
                    </a:solidFill>
                    <a:latin typeface="Calibri"/>
                  </a:rPr>
                  <a:t>Revenue (PHP)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6284470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PH" sz="1800" b="1" i="0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Calc!$E$1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1364-4BE0-B234-118A6A52F970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1364-4BE0-B234-118A6A52F970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1364-4BE0-B234-118A6A52F97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1364-4BE0-B234-118A6A52F970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1364-4BE0-B234-118A6A52F970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364-4BE0-B234-118A6A52F970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364-4BE0-B234-118A6A52F970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364-4BE0-B234-118A6A52F970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364-4BE0-B234-118A6A52F970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1364-4BE0-B234-118A6A52F97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Calc!$D$2:$D$6</c:f>
              <c:strCache>
                <c:ptCount val="5"/>
                <c:pt idx="0">
                  <c:v>Food</c:v>
                </c:pt>
                <c:pt idx="1">
                  <c:v>Drinks</c:v>
                </c:pt>
                <c:pt idx="2">
                  <c:v>Household</c:v>
                </c:pt>
                <c:pt idx="3">
                  <c:v>Bakery</c:v>
                </c:pt>
                <c:pt idx="4">
                  <c:v>Beverages</c:v>
                </c:pt>
              </c:strCache>
            </c:strRef>
          </c:cat>
          <c:val>
            <c:numRef>
              <c:f>Calc!$E$2:$E$6</c:f>
              <c:numCache>
                <c:formatCode>General</c:formatCode>
                <c:ptCount val="5"/>
                <c:pt idx="0">
                  <c:v>2645</c:v>
                </c:pt>
                <c:pt idx="1">
                  <c:v>1565</c:v>
                </c:pt>
                <c:pt idx="2">
                  <c:v>1110</c:v>
                </c:pt>
                <c:pt idx="3">
                  <c:v>630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64-4BE0-B234-118A6A52F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2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PH" sz="1800" b="1" i="0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mpd="sng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Calc!$G$2:$G$4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Calc!$H$2:$H$4</c:f>
              <c:numCache>
                <c:formatCode>General</c:formatCode>
                <c:ptCount val="3"/>
                <c:pt idx="0">
                  <c:v>1900</c:v>
                </c:pt>
                <c:pt idx="1">
                  <c:v>2380</c:v>
                </c:pt>
                <c:pt idx="2">
                  <c:v>2270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3-4B93-BE11-E02599D44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130020"/>
        <c:axId val="686896503"/>
      </c:lineChart>
      <c:catAx>
        <c:axId val="1610130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i="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6896503"/>
        <c:crosses val="autoZero"/>
        <c:auto val="1"/>
        <c:lblAlgn val="ctr"/>
        <c:lblOffset val="100"/>
        <c:noMultiLvlLbl val="1"/>
      </c:catAx>
      <c:valAx>
        <c:axId val="686896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i="0">
                    <a:solidFill>
                      <a:srgbClr val="000000"/>
                    </a:solidFill>
                    <a:latin typeface="Calibri"/>
                  </a:rPr>
                  <a:t>Revenue (PHP)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101300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PH" sz="1800" b="1" i="0">
                <a:solidFill>
                  <a:srgbClr val="000000"/>
                </a:solidFill>
                <a:latin typeface="Calibri"/>
              </a:rPr>
              <a:t>Top Customers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Calc!$J$2:$J$11</c:f>
              <c:strCache>
                <c:ptCount val="10"/>
                <c:pt idx="0">
                  <c:v>Bryan Flores</c:v>
                </c:pt>
                <c:pt idx="1">
                  <c:v>Nicole Perez</c:v>
                </c:pt>
                <c:pt idx="2">
                  <c:v>Pedro Reyes</c:v>
                </c:pt>
                <c:pt idx="3">
                  <c:v>Carla Mendoza</c:v>
                </c:pt>
                <c:pt idx="4">
                  <c:v>Angelica Cruz</c:v>
                </c:pt>
                <c:pt idx="5">
                  <c:v>Maria Santos</c:v>
                </c:pt>
                <c:pt idx="6">
                  <c:v>Michael Ramos</c:v>
                </c:pt>
                <c:pt idx="7">
                  <c:v>Juan Cruz</c:v>
                </c:pt>
                <c:pt idx="8">
                  <c:v>Ana Lopez</c:v>
                </c:pt>
                <c:pt idx="9">
                  <c:v>Jose Garcia</c:v>
                </c:pt>
              </c:strCache>
            </c:strRef>
          </c:cat>
          <c:val>
            <c:numRef>
              <c:f>Calc!$K$2:$K$11</c:f>
              <c:numCache>
                <c:formatCode>General</c:formatCode>
                <c:ptCount val="10"/>
                <c:pt idx="0">
                  <c:v>910</c:v>
                </c:pt>
                <c:pt idx="1">
                  <c:v>850</c:v>
                </c:pt>
                <c:pt idx="2">
                  <c:v>680</c:v>
                </c:pt>
                <c:pt idx="3">
                  <c:v>680</c:v>
                </c:pt>
                <c:pt idx="4">
                  <c:v>615</c:v>
                </c:pt>
                <c:pt idx="5">
                  <c:v>590</c:v>
                </c:pt>
                <c:pt idx="6">
                  <c:v>590</c:v>
                </c:pt>
                <c:pt idx="7">
                  <c:v>585</c:v>
                </c:pt>
                <c:pt idx="8">
                  <c:v>550</c:v>
                </c:pt>
                <c:pt idx="9">
                  <c:v>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B4-41A4-A9EE-5B9881415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8632118"/>
        <c:axId val="562425177"/>
      </c:barChart>
      <c:catAx>
        <c:axId val="1368632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i="0">
                    <a:solidFill>
                      <a:srgbClr val="000000"/>
                    </a:solidFill>
                    <a:latin typeface="Calibri"/>
                  </a:rPr>
                  <a:t>Customer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425177"/>
        <c:crosses val="autoZero"/>
        <c:auto val="1"/>
        <c:lblAlgn val="ctr"/>
        <c:lblOffset val="100"/>
        <c:noMultiLvlLbl val="1"/>
      </c:catAx>
      <c:valAx>
        <c:axId val="562425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i="0">
                    <a:solidFill>
                      <a:srgbClr val="000000"/>
                    </a:solidFill>
                    <a:latin typeface="Calibri"/>
                  </a:rPr>
                  <a:t>Revenue (PHP)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863211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95250</xdr:rowOff>
    </xdr:from>
    <xdr:ext cx="7429500" cy="3019425"/>
    <xdr:graphicFrame macro="">
      <xdr:nvGraphicFramePr>
        <xdr:cNvPr id="2146704048" name="Chart 1">
          <a:extLst>
            <a:ext uri="{FF2B5EF4-FFF2-40B4-BE49-F238E27FC236}">
              <a16:creationId xmlns:a16="http://schemas.microsoft.com/office/drawing/2014/main" id="{00000000-0008-0000-0000-0000B01AF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38099</xdr:colOff>
      <xdr:row>12</xdr:row>
      <xdr:rowOff>114300</xdr:rowOff>
    </xdr:from>
    <xdr:ext cx="5404757" cy="3019425"/>
    <xdr:graphicFrame macro="">
      <xdr:nvGraphicFramePr>
        <xdr:cNvPr id="46999760" name="Chart 2">
          <a:extLst>
            <a:ext uri="{FF2B5EF4-FFF2-40B4-BE49-F238E27FC236}">
              <a16:creationId xmlns:a16="http://schemas.microsoft.com/office/drawing/2014/main" id="{00000000-0008-0000-0000-0000D028C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95250</xdr:rowOff>
    </xdr:from>
    <xdr:ext cx="13096875" cy="3019425"/>
    <xdr:graphicFrame macro="">
      <xdr:nvGraphicFramePr>
        <xdr:cNvPr id="33679214" name="Chart 3">
          <a:extLst>
            <a:ext uri="{FF2B5EF4-FFF2-40B4-BE49-F238E27FC236}">
              <a16:creationId xmlns:a16="http://schemas.microsoft.com/office/drawing/2014/main" id="{00000000-0008-0000-0000-00006EE70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45</xdr:row>
      <xdr:rowOff>66675</xdr:rowOff>
    </xdr:from>
    <xdr:ext cx="13096875" cy="3019425"/>
    <xdr:graphicFrame macro="">
      <xdr:nvGraphicFramePr>
        <xdr:cNvPr id="1466843732" name="Chart 4">
          <a:extLst>
            <a:ext uri="{FF2B5EF4-FFF2-40B4-BE49-F238E27FC236}">
              <a16:creationId xmlns:a16="http://schemas.microsoft.com/office/drawing/2014/main" id="{00000000-0008-0000-0000-000054426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47625</xdr:colOff>
      <xdr:row>2</xdr:row>
      <xdr:rowOff>47625</xdr:rowOff>
    </xdr:from>
    <xdr:ext cx="4581525" cy="885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060000" y="3341850"/>
          <a:ext cx="4572000" cy="876300"/>
        </a:xfrm>
        <a:prstGeom prst="rect">
          <a:avLst/>
        </a:prstGeom>
        <a:solidFill>
          <a:srgbClr val="75707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                                               </a:t>
          </a:r>
          <a:r>
            <a:rPr lang="en-US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JUST CLICK ALL. FOLLOW THE ARROW</a:t>
          </a:r>
          <a:endParaRPr sz="12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3</xdr:col>
      <xdr:colOff>200025</xdr:colOff>
      <xdr:row>3</xdr:row>
      <xdr:rowOff>66675</xdr:rowOff>
    </xdr:from>
    <xdr:ext cx="1562100" cy="352425"/>
    <xdr:grpSp>
      <xdr:nvGrpSpPr>
        <xdr:cNvPr id="2" name="Shape 2" title="Guhi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016704" y="855889"/>
          <a:ext cx="1562100" cy="352425"/>
          <a:chOff x="4431600" y="3751425"/>
          <a:chExt cx="1828800" cy="5715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 rot="10800000">
            <a:off x="4431600" y="3751425"/>
            <a:ext cx="1828800" cy="571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190500</xdr:rowOff>
    </xdr:from>
    <xdr:ext cx="3019425" cy="4857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841050" y="3541875"/>
          <a:ext cx="3009900" cy="47625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lang="en-US" sz="2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TOP CUSTOMERS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581025</xdr:colOff>
      <xdr:row>0</xdr:row>
      <xdr:rowOff>85725</xdr:rowOff>
    </xdr:from>
    <xdr:ext cx="3009900" cy="4857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845813" y="3541875"/>
          <a:ext cx="3000375" cy="476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Calibri"/>
            <a:buNone/>
          </a:pPr>
          <a:r>
            <a:rPr lang="en-US" sz="2000" b="1">
              <a:latin typeface="Calibri"/>
              <a:ea typeface="Calibri"/>
              <a:cs typeface="Calibri"/>
              <a:sym typeface="Calibri"/>
            </a:rPr>
            <a:t>Best Selling Products</a:t>
          </a:r>
          <a:endParaRPr sz="20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16</xdr:row>
      <xdr:rowOff>19050</xdr:rowOff>
    </xdr:from>
    <xdr:ext cx="3019425" cy="4762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841050" y="3546638"/>
          <a:ext cx="3009900" cy="4667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Calibri"/>
            <a:buNone/>
          </a:pPr>
          <a:r>
            <a:rPr lang="en-US" sz="2000" b="1">
              <a:latin typeface="Calibri"/>
              <a:ea typeface="Calibri"/>
              <a:cs typeface="Calibri"/>
              <a:sym typeface="Calibri"/>
            </a:rPr>
            <a:t>Sales per Product</a:t>
          </a:r>
          <a:endParaRPr sz="20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581025</xdr:colOff>
      <xdr:row>11</xdr:row>
      <xdr:rowOff>9525</xdr:rowOff>
    </xdr:from>
    <xdr:ext cx="3009900" cy="4667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845813" y="3551400"/>
          <a:ext cx="3000375" cy="457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Calibri"/>
            <a:buNone/>
          </a:pPr>
          <a:r>
            <a:rPr lang="en-US" sz="2000" b="1">
              <a:latin typeface="Calibri"/>
              <a:ea typeface="Calibri"/>
              <a:cs typeface="Calibri"/>
              <a:sym typeface="Calibri"/>
            </a:rPr>
            <a:t>Monthly Sales</a:t>
          </a:r>
          <a:endParaRPr sz="20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31</xdr:row>
      <xdr:rowOff>28575</xdr:rowOff>
    </xdr:from>
    <xdr:ext cx="3019425" cy="4857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3841050" y="3541875"/>
          <a:ext cx="3009900" cy="476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Calibri"/>
            <a:buNone/>
          </a:pPr>
          <a:r>
            <a:rPr lang="en-US" sz="2000" b="1">
              <a:latin typeface="Calibri"/>
              <a:ea typeface="Calibri"/>
              <a:cs typeface="Calibri"/>
              <a:sym typeface="Calibri"/>
            </a:rPr>
            <a:t>Sales Category</a:t>
          </a:r>
          <a:endParaRPr sz="20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 b="0" i="0" u="none" strike="noStrike" cap="none">
            <a:solidFill>
              <a:srgbClr val="000000"/>
            </a:solidFill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476250</xdr:colOff>
      <xdr:row>20</xdr:row>
      <xdr:rowOff>114300</xdr:rowOff>
    </xdr:from>
    <xdr:ext cx="1143000" cy="6953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4779263" y="3437100"/>
          <a:ext cx="1133475" cy="6858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Total Sales           </a:t>
          </a:r>
          <a:endParaRPr sz="1600" b="0" i="0" u="none" strike="noStrike" cap="none">
            <a:solidFill>
              <a:srgbClr val="000000"/>
            </a:solidFill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lang="en-US" sz="1800" b="0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6550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47625</xdr:rowOff>
    </xdr:from>
    <xdr:ext cx="30194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3841050" y="3541875"/>
          <a:ext cx="3009900" cy="476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Calibri"/>
            <a:buNone/>
          </a:pPr>
          <a:r>
            <a:rPr lang="en-US" sz="2000" b="1">
              <a:latin typeface="Calibri"/>
              <a:ea typeface="Calibri"/>
              <a:cs typeface="Calibri"/>
              <a:sym typeface="Calibri"/>
            </a:rPr>
            <a:t>CUSTOMER TABLE</a:t>
          </a:r>
          <a:endParaRPr sz="20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endParaRPr sz="20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28575</xdr:colOff>
      <xdr:row>14</xdr:row>
      <xdr:rowOff>28575</xdr:rowOff>
    </xdr:from>
    <xdr:ext cx="3019425" cy="5143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3841050" y="3527588"/>
          <a:ext cx="3009900" cy="5048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Calibri"/>
            <a:buNone/>
          </a:pPr>
          <a:r>
            <a:rPr lang="en-US" sz="2000" b="1">
              <a:latin typeface="Calibri"/>
              <a:ea typeface="Calibri"/>
              <a:cs typeface="Calibri"/>
              <a:sym typeface="Calibri"/>
            </a:rPr>
            <a:t>PRODUCT TABLE</a:t>
          </a:r>
          <a:endParaRPr sz="20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endParaRPr sz="20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28575</xdr:colOff>
      <xdr:row>29</xdr:row>
      <xdr:rowOff>161925</xdr:rowOff>
    </xdr:from>
    <xdr:ext cx="3019425" cy="5143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3841050" y="3527588"/>
          <a:ext cx="3009900" cy="5048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Calibri"/>
            <a:buNone/>
          </a:pPr>
          <a:r>
            <a:rPr lang="en-US" sz="2000"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2000" b="1">
              <a:latin typeface="Calibri"/>
              <a:ea typeface="Calibri"/>
              <a:cs typeface="Calibri"/>
              <a:sym typeface="Calibri"/>
            </a:rPr>
            <a:t>SALES TABLE</a:t>
          </a:r>
          <a:endParaRPr sz="20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endParaRPr sz="20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</xdr:row>
      <xdr:rowOff>171450</xdr:rowOff>
    </xdr:from>
    <xdr:ext cx="12858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4707825" y="3622838"/>
          <a:ext cx="1276350" cy="3143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Customers</a:t>
          </a:r>
          <a:endParaRPr sz="16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114300</xdr:colOff>
      <xdr:row>17</xdr:row>
      <xdr:rowOff>19050</xdr:rowOff>
    </xdr:from>
    <xdr:ext cx="1285875" cy="3048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4707825" y="3632363"/>
          <a:ext cx="1276350" cy="2952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Product</a:t>
          </a:r>
          <a:endParaRPr sz="16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76200</xdr:colOff>
      <xdr:row>31</xdr:row>
      <xdr:rowOff>19050</xdr:rowOff>
    </xdr:from>
    <xdr:ext cx="1285875" cy="3048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4707825" y="3632363"/>
          <a:ext cx="1276350" cy="2952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Category</a:t>
          </a:r>
          <a:endParaRPr sz="16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222.879627546296" refreshedVersion="8" recordCount="5" xr:uid="{00000000-000A-0000-FFFF-FFFF02000000}">
  <cacheSource type="worksheet">
    <worksheetSource ref="A36:B41" sheet="My Insights Tables"/>
  </cacheSource>
  <cacheFields count="2">
    <cacheField name="Category" numFmtId="0">
      <sharedItems count="5">
        <s v="Bakery"/>
        <s v="Beverages"/>
        <s v="Drinks"/>
        <s v="Food"/>
        <s v="Household"/>
      </sharedItems>
    </cacheField>
    <cacheField name="Revenue" numFmtId="0">
      <sharedItems containsSemiMixedTypes="0" containsString="0" containsNumber="1" containsInteger="1" minValue="600" maxValue="26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222.879627662034" refreshedVersion="8" recordCount="10" xr:uid="{00000000-000A-0000-FFFF-FFFF01000000}">
  <cacheSource type="worksheet">
    <worksheetSource ref="A21:C31" sheet="My Insights Tables"/>
  </cacheSource>
  <cacheFields count="3">
    <cacheField name="Product Name" numFmtId="0">
      <sharedItems count="10">
        <s v="Milk"/>
        <s v="Sugar"/>
        <s v="Shampoo"/>
        <s v="Soft Drinks"/>
        <s v="Cooking Oil"/>
        <s v="Bread"/>
        <s v="Coffee"/>
        <s v="Eggs"/>
        <s v="Rice"/>
        <s v="Soap"/>
      </sharedItems>
    </cacheField>
    <cacheField name="Quantity Sold" numFmtId="0">
      <sharedItems containsSemiMixedTypes="0" containsString="0" containsNumber="1" containsInteger="1" minValue="4" maxValue="14"/>
    </cacheField>
    <cacheField name="Revenue" numFmtId="0">
      <sharedItems containsSemiMixedTypes="0" containsString="0" containsNumber="1" containsInteger="1" minValue="385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222.879700347221" refreshedVersion="8" recordCount="10" xr:uid="{00000000-000A-0000-FFFF-FFFF00000000}">
  <cacheSource type="worksheet">
    <worksheetSource ref="A6:B16" sheet="My Insights Tables"/>
  </cacheSource>
  <cacheFields count="2">
    <cacheField name=" Customer Name" numFmtId="0">
      <sharedItems count="10">
        <s v="Bryan Flores"/>
        <s v="Nicole Perez"/>
        <s v="Pedro Reyes"/>
        <s v="Carla Mendoza"/>
        <s v="Angelica Cruz"/>
        <s v="Maria Santos"/>
        <s v="Michael Ramos"/>
        <s v="Juan Cruz"/>
        <s v="Ana Lopez"/>
        <s v="Jose Garcia"/>
      </sharedItems>
    </cacheField>
    <cacheField name="Total Purchases" numFmtId="0">
      <sharedItems containsSemiMixedTypes="0" containsString="0" containsNumber="1" containsInteger="1" minValue="500" maxValue="9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30"/>
  </r>
  <r>
    <x v="1"/>
    <n v="600"/>
  </r>
  <r>
    <x v="2"/>
    <n v="1565"/>
  </r>
  <r>
    <x v="3"/>
    <n v="2645"/>
  </r>
  <r>
    <x v="4"/>
    <n v="11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0"/>
    <n v="850"/>
  </r>
  <r>
    <x v="1"/>
    <n v="11"/>
    <n v="825"/>
  </r>
  <r>
    <x v="2"/>
    <n v="5"/>
    <n v="725"/>
  </r>
  <r>
    <x v="3"/>
    <n v="13"/>
    <n v="715"/>
  </r>
  <r>
    <x v="4"/>
    <n v="4"/>
    <n v="680"/>
  </r>
  <r>
    <x v="5"/>
    <n v="14"/>
    <n v="630"/>
  </r>
  <r>
    <x v="6"/>
    <n v="5"/>
    <n v="600"/>
  </r>
  <r>
    <x v="7"/>
    <n v="5"/>
    <n v="600"/>
  </r>
  <r>
    <x v="8"/>
    <n v="9"/>
    <n v="540"/>
  </r>
  <r>
    <x v="9"/>
    <n v="11"/>
    <n v="38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910"/>
  </r>
  <r>
    <x v="1"/>
    <n v="850"/>
  </r>
  <r>
    <x v="2"/>
    <n v="680"/>
  </r>
  <r>
    <x v="3"/>
    <n v="680"/>
  </r>
  <r>
    <x v="4"/>
    <n v="615"/>
  </r>
  <r>
    <x v="5"/>
    <n v="590"/>
  </r>
  <r>
    <x v="6"/>
    <n v="590"/>
  </r>
  <r>
    <x v="7"/>
    <n v="585"/>
  </r>
  <r>
    <x v="8"/>
    <n v="550"/>
  </r>
  <r>
    <x v="9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S" cacheId="14" applyNumberFormats="0" applyBorderFormats="0" applyFontFormats="0" applyPatternFormats="0" applyAlignmentFormats="0" applyWidthHeightFormats="0" dataCaption="" updatedVersion="8" compact="0" compactData="0">
  <location ref="A3:B14" firstHeaderRow="1" firstDataRow="1" firstDataCol="1"/>
  <pivotFields count="2">
    <pivotField name=" Customer Name" axis="axisRow" compact="0" outline="0" multipleItemSelectionAllowed="1" showAll="0" sortType="ascending">
      <items count="11">
        <item x="8"/>
        <item x="4"/>
        <item x="0"/>
        <item x="3"/>
        <item x="9"/>
        <item x="7"/>
        <item x="5"/>
        <item x="6"/>
        <item x="1"/>
        <item x="2"/>
        <item t="default"/>
      </items>
    </pivotField>
    <pivotField name="Total Purchases" dataField="1" compact="0" outline="0" multipleItemSelectionAllowe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Purchases" fld="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 TABLES 2" cacheId="11" applyNumberFormats="0" applyBorderFormats="0" applyFontFormats="0" applyPatternFormats="0" applyAlignmentFormats="0" applyWidthHeightFormats="0" dataCaption="" updatedVersion="8" compact="0" compactData="0">
  <location ref="A18:C29" firstHeaderRow="1" firstDataRow="2" firstDataCol="1"/>
  <pivotFields count="3">
    <pivotField name="Product Name" axis="axisRow" compact="0" outline="0" multipleItemSelectionAllowed="1" showAll="0" sortType="ascending">
      <items count="11">
        <item x="5"/>
        <item x="6"/>
        <item x="4"/>
        <item x="7"/>
        <item x="0"/>
        <item x="8"/>
        <item x="2"/>
        <item x="9"/>
        <item x="3"/>
        <item x="1"/>
        <item t="default"/>
      </items>
    </pivotField>
    <pivotField name="Quantity Sold" dataField="1" compact="0" outline="0" multipleItemSelectionAllowed="1" showAll="0"/>
    <pivotField name="Revenue" dataField="1" compact="0" outline="0" multipleItemSelectionAllowe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 Sold" fld="1" baseField="0"/>
    <dataField name="Sum of Revenue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 TABLES 3" cacheId="8" applyNumberFormats="0" applyBorderFormats="0" applyFontFormats="0" applyPatternFormats="0" applyAlignmentFormats="0" applyWidthHeightFormats="0" dataCaption="" updatedVersion="8" compact="0" compactData="0">
  <location ref="A32:B38" firstHeaderRow="1" firstDataRow="1" firstDataCol="1"/>
  <pivotFields count="2">
    <pivotField name="Category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Revenue" dataField="1" compact="0" outline="0" multipleItemSelectionAllowe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6:B16">
  <tableColumns count="2">
    <tableColumn id="1" xr3:uid="{00000000-0010-0000-0000-000001000000}" name=" Customer Name"/>
    <tableColumn id="2" xr3:uid="{00000000-0010-0000-0000-000002000000}" name="Total Purchases"/>
  </tableColumns>
  <tableStyleInfo name="My Insights Tabl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9" displayName="Table9" ref="G6:H11">
  <tableColumns count="2">
    <tableColumn id="1" xr3:uid="{00000000-0010-0000-0100-000001000000}" name="Product Name"/>
    <tableColumn id="2" xr3:uid="{00000000-0010-0000-0100-000002000000}" name="Total Sold"/>
  </tableColumns>
  <tableStyleInfo name="My Insights Tabl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0" displayName="Table10" ref="G16:H19">
  <tableColumns count="2">
    <tableColumn id="1" xr3:uid="{00000000-0010-0000-0200-000001000000}" name="Month"/>
    <tableColumn id="2" xr3:uid="{00000000-0010-0000-0200-000002000000}" name="Revenue"/>
  </tableColumns>
  <tableStyleInfo name="My Insights Tabl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" displayName="Table6" ref="A21:C31">
  <tableColumns count="3">
    <tableColumn id="1" xr3:uid="{00000000-0010-0000-0300-000001000000}" name="Product Name"/>
    <tableColumn id="2" xr3:uid="{00000000-0010-0000-0300-000002000000}" name="Quantity Sold"/>
    <tableColumn id="3" xr3:uid="{00000000-0010-0000-0300-000003000000}" name="Revenue"/>
  </tableColumns>
  <tableStyleInfo name="My Insights Table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8" displayName="Table8" ref="A36:B41">
  <tableColumns count="2">
    <tableColumn id="1" xr3:uid="{00000000-0010-0000-0400-000001000000}" name="Category"/>
    <tableColumn id="2" xr3:uid="{00000000-0010-0000-0400-000002000000}" name="Revenue"/>
  </tableColumns>
  <tableStyleInfo name="My Insights Table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" ref="A4:C14">
  <tableColumns count="3">
    <tableColumn id="1" xr3:uid="{00000000-0010-0000-0500-000001000000}" name="CustomerID"/>
    <tableColumn id="2" xr3:uid="{00000000-0010-0000-0500-000002000000}" name="CustomerName"/>
    <tableColumn id="3" xr3:uid="{00000000-0010-0000-0500-000003000000}" name="City"/>
  </tableColumns>
  <tableStyleInfo name="ALL CLEAN TABLE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2" displayName="Table2" ref="A19:D29">
  <tableColumns count="4">
    <tableColumn id="1" xr3:uid="{00000000-0010-0000-0600-000001000000}" name="ProductID"/>
    <tableColumn id="2" xr3:uid="{00000000-0010-0000-0600-000002000000}" name="ProductName"/>
    <tableColumn id="3" xr3:uid="{00000000-0010-0000-0600-000003000000}" name="Category"/>
    <tableColumn id="4" xr3:uid="{00000000-0010-0000-0600-000004000000}" name="Price"/>
  </tableColumns>
  <tableStyleInfo name="ALL CLEAN TABLES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3" displayName="Table3" ref="A35:E65">
  <tableColumns count="5">
    <tableColumn id="1" xr3:uid="{00000000-0010-0000-0700-000001000000}" name="SaleID"/>
    <tableColumn id="2" xr3:uid="{00000000-0010-0000-0700-000002000000}" name="SaleDate"/>
    <tableColumn id="3" xr3:uid="{00000000-0010-0000-0700-000003000000}" name="CustomerID"/>
    <tableColumn id="4" xr3:uid="{00000000-0010-0000-0700-000004000000}" name="ProductID"/>
    <tableColumn id="5" xr3:uid="{00000000-0010-0000-0700-000005000000}" name="Quantity"/>
  </tableColumns>
  <tableStyleInfo name="ALL CLEAN TABLES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1" displayName="Table11" ref="A1:J31">
  <tableColumns count="10">
    <tableColumn id="1" xr3:uid="{00000000-0010-0000-0800-000001000000}" name="SaleID"/>
    <tableColumn id="2" xr3:uid="{00000000-0010-0000-0800-000002000000}" name="SaleDate"/>
    <tableColumn id="3" xr3:uid="{00000000-0010-0000-0800-000003000000}" name="Month"/>
    <tableColumn id="4" xr3:uid="{00000000-0010-0000-0800-000004000000}" name="CustomerName"/>
    <tableColumn id="5" xr3:uid="{00000000-0010-0000-0800-000005000000}" name="City"/>
    <tableColumn id="6" xr3:uid="{00000000-0010-0000-0800-000006000000}" name="ProductName"/>
    <tableColumn id="7" xr3:uid="{00000000-0010-0000-0800-000007000000}" name="Category"/>
    <tableColumn id="8" xr3:uid="{00000000-0010-0000-0800-000008000000}" name="Quantity"/>
    <tableColumn id="9" xr3:uid="{00000000-0010-0000-0800-000009000000}" name="Price"/>
    <tableColumn id="10" xr3:uid="{00000000-0010-0000-0800-00000A000000}" name="Revenue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tabSelected="1" topLeftCell="A10" zoomScale="70" zoomScaleNormal="70" workbookViewId="0">
      <selection activeCell="S22" sqref="S22"/>
    </sheetView>
  </sheetViews>
  <sheetFormatPr defaultColWidth="14.42578125" defaultRowHeight="15" customHeight="1"/>
  <cols>
    <col min="1" max="8" width="14" customWidth="1"/>
    <col min="9" max="26" width="8.7109375" customWidth="1"/>
  </cols>
  <sheetData>
    <row r="1" spans="1:8" ht="24" customHeight="1">
      <c r="A1" s="25" t="s">
        <v>0</v>
      </c>
      <c r="B1" s="26"/>
      <c r="C1" s="26"/>
      <c r="D1" s="26"/>
      <c r="E1" s="26"/>
      <c r="F1" s="26"/>
      <c r="G1" s="26"/>
      <c r="H1" s="27"/>
    </row>
    <row r="2" spans="1:8" ht="24" customHeight="1">
      <c r="A2" s="28"/>
      <c r="B2" s="29"/>
      <c r="C2" s="29"/>
      <c r="D2" s="29"/>
      <c r="E2" s="29"/>
      <c r="F2" s="29"/>
      <c r="G2" s="29"/>
      <c r="H2" s="30"/>
    </row>
    <row r="4" spans="1:8" ht="15" customHeight="1">
      <c r="A4" s="1" t="s">
        <v>1</v>
      </c>
      <c r="B4" s="1" t="s">
        <v>2</v>
      </c>
      <c r="C4" s="2" t="s">
        <v>3</v>
      </c>
    </row>
    <row r="5" spans="1:8" ht="15" customHeight="1">
      <c r="B5" s="1" t="s">
        <v>4</v>
      </c>
      <c r="C5" s="2" t="s">
        <v>3</v>
      </c>
    </row>
    <row r="6" spans="1:8" ht="15" customHeight="1">
      <c r="B6" s="1" t="s">
        <v>5</v>
      </c>
      <c r="C6" s="2" t="s">
        <v>3</v>
      </c>
    </row>
    <row r="8" spans="1:8" ht="15" customHeight="1">
      <c r="A8" s="31"/>
      <c r="B8" s="32"/>
      <c r="C8" s="32"/>
      <c r="D8" s="32"/>
      <c r="E8" s="32"/>
      <c r="F8" s="32"/>
      <c r="G8" s="32"/>
      <c r="H8" s="32"/>
    </row>
    <row r="10" spans="1:8" ht="15" customHeight="1">
      <c r="A10" s="33" t="s">
        <v>6</v>
      </c>
      <c r="B10" s="22"/>
      <c r="C10" s="33" t="s">
        <v>7</v>
      </c>
      <c r="D10" s="22"/>
      <c r="E10" s="33" t="s">
        <v>8</v>
      </c>
      <c r="F10" s="22"/>
      <c r="G10" s="33" t="s">
        <v>9</v>
      </c>
      <c r="H10" s="22"/>
    </row>
    <row r="11" spans="1:8" ht="21.75" customHeight="1">
      <c r="A11" s="23">
        <f>SUMIFS(Data!$J$2:$J$31,Data!$C$2:$C$31,IF(Dashboard!$C$4="All","*",Dashboard!$C$4),Data!$G$2:$G$31,IF(Dashboard!$C$5="All","*",Dashboard!$C$5),Data!$D$2:$D$31,IF(Dashboard!$C$6="All","*",Dashboard!$C$6))</f>
        <v>6550</v>
      </c>
      <c r="B11" s="22"/>
      <c r="C11" s="21">
        <f>COUNTIFS(Data!$C$2:$C$31,IF(Dashboard!$C$4="All","*",Dashboard!$C$4),Data!$G$2:$G$31,IF(Dashboard!$C$5="All","*",Dashboard!$C$5),Data!$D$2:$D$31,IF(Dashboard!$C$6="All","*",Dashboard!$C$6))</f>
        <v>30</v>
      </c>
      <c r="D11" s="22"/>
      <c r="E11" s="21">
        <f>10</f>
        <v>10</v>
      </c>
      <c r="F11" s="22"/>
      <c r="G11" s="21">
        <f>10</f>
        <v>10</v>
      </c>
      <c r="H11" s="22"/>
    </row>
    <row r="12" spans="1:8" ht="15" customHeight="1">
      <c r="A12" s="24"/>
      <c r="B12" s="22"/>
      <c r="C12" s="24"/>
      <c r="D12" s="22"/>
      <c r="E12" s="24"/>
      <c r="F12" s="22"/>
      <c r="G12" s="24"/>
      <c r="H12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G12:H12"/>
    <mergeCell ref="A1:H2"/>
    <mergeCell ref="A8:H8"/>
    <mergeCell ref="A10:B10"/>
    <mergeCell ref="C10:D10"/>
    <mergeCell ref="E10:F10"/>
    <mergeCell ref="G10:H10"/>
    <mergeCell ref="G11:H11"/>
    <mergeCell ref="C11:D11"/>
    <mergeCell ref="E11:F11"/>
    <mergeCell ref="A11:B11"/>
    <mergeCell ref="A12:B12"/>
    <mergeCell ref="C12:D12"/>
    <mergeCell ref="E12:F12"/>
  </mergeCells>
  <dataValidations count="3">
    <dataValidation type="list" allowBlank="1" sqref="C5" xr:uid="{00000000-0002-0000-0000-000000000000}">
      <formula1>"All,Food,Drinks,Household,Bakery,Beverages"</formula1>
    </dataValidation>
    <dataValidation type="list" allowBlank="1" sqref="C6" xr:uid="{00000000-0002-0000-0000-000001000000}">
      <formula1>"All,Bryan Flores,Nicole Perez,Pedro Reyes,Carla Mendoza,Angelica Cruz,Maria Santos,Michael Ramos,Juan Cruz,Ana Lopez,Jose Garcia"</formula1>
    </dataValidation>
    <dataValidation type="list" allowBlank="1" sqref="C4" xr:uid="{00000000-0002-0000-0000-000002000000}">
      <formula1>"All,January,February,March"</formula1>
    </dataValidation>
  </dataValidation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1000"/>
  <sheetViews>
    <sheetView workbookViewId="0"/>
  </sheetViews>
  <sheetFormatPr defaultColWidth="14.42578125" defaultRowHeight="15" customHeight="1"/>
  <cols>
    <col min="1" max="1" width="22.7109375" customWidth="1"/>
    <col min="2" max="2" width="23.42578125" customWidth="1"/>
    <col min="3" max="3" width="18.28515625" customWidth="1"/>
    <col min="4" max="4" width="13.7109375" customWidth="1"/>
    <col min="5" max="5" width="11.28515625" customWidth="1"/>
    <col min="6" max="6" width="8.7109375" customWidth="1"/>
    <col min="7" max="7" width="22" customWidth="1"/>
    <col min="8" max="8" width="15.5703125" customWidth="1"/>
    <col min="9" max="26" width="8.7109375" customWidth="1"/>
  </cols>
  <sheetData>
    <row r="6" spans="1:8" ht="15" customHeight="1">
      <c r="A6" s="3" t="s">
        <v>10</v>
      </c>
      <c r="B6" s="3" t="s">
        <v>11</v>
      </c>
      <c r="G6" s="3" t="s">
        <v>12</v>
      </c>
      <c r="H6" s="3" t="s">
        <v>13</v>
      </c>
    </row>
    <row r="7" spans="1:8" ht="15" customHeight="1">
      <c r="A7" s="4" t="s">
        <v>14</v>
      </c>
      <c r="B7" s="4">
        <v>910</v>
      </c>
      <c r="G7" s="4" t="s">
        <v>15</v>
      </c>
      <c r="H7" s="4">
        <v>14</v>
      </c>
    </row>
    <row r="8" spans="1:8" ht="15" customHeight="1">
      <c r="A8" s="4" t="s">
        <v>16</v>
      </c>
      <c r="B8" s="4">
        <v>850</v>
      </c>
      <c r="G8" s="4" t="s">
        <v>17</v>
      </c>
      <c r="H8" s="4">
        <v>13</v>
      </c>
    </row>
    <row r="9" spans="1:8" ht="15" customHeight="1">
      <c r="A9" s="4" t="s">
        <v>18</v>
      </c>
      <c r="B9" s="4">
        <v>680</v>
      </c>
      <c r="G9" s="4" t="s">
        <v>19</v>
      </c>
      <c r="H9" s="4">
        <v>11</v>
      </c>
    </row>
    <row r="10" spans="1:8" ht="15" customHeight="1">
      <c r="A10" s="4" t="s">
        <v>20</v>
      </c>
      <c r="B10" s="4">
        <v>680</v>
      </c>
      <c r="G10" s="4" t="s">
        <v>21</v>
      </c>
      <c r="H10" s="4">
        <v>11</v>
      </c>
    </row>
    <row r="11" spans="1:8" ht="15" customHeight="1">
      <c r="A11" s="4" t="s">
        <v>22</v>
      </c>
      <c r="B11" s="4">
        <v>615</v>
      </c>
      <c r="G11" s="4" t="s">
        <v>23</v>
      </c>
      <c r="H11" s="4">
        <v>10</v>
      </c>
    </row>
    <row r="12" spans="1:8" ht="15" customHeight="1">
      <c r="A12" s="4" t="s">
        <v>24</v>
      </c>
      <c r="B12" s="4">
        <v>590</v>
      </c>
    </row>
    <row r="13" spans="1:8" ht="15" customHeight="1">
      <c r="A13" s="4" t="s">
        <v>25</v>
      </c>
      <c r="B13" s="4">
        <v>590</v>
      </c>
    </row>
    <row r="14" spans="1:8" ht="15" customHeight="1">
      <c r="A14" s="4" t="s">
        <v>26</v>
      </c>
      <c r="B14" s="4">
        <v>585</v>
      </c>
    </row>
    <row r="15" spans="1:8" ht="15" customHeight="1">
      <c r="A15" s="4" t="s">
        <v>27</v>
      </c>
      <c r="B15" s="4">
        <v>550</v>
      </c>
    </row>
    <row r="16" spans="1:8" ht="15" customHeight="1">
      <c r="A16" s="4" t="s">
        <v>28</v>
      </c>
      <c r="B16" s="4">
        <v>500</v>
      </c>
      <c r="G16" s="3" t="s">
        <v>29</v>
      </c>
      <c r="H16" s="3" t="s">
        <v>30</v>
      </c>
    </row>
    <row r="17" spans="1:8" ht="15" customHeight="1">
      <c r="G17" s="4" t="s">
        <v>31</v>
      </c>
      <c r="H17" s="4">
        <v>1900</v>
      </c>
    </row>
    <row r="18" spans="1:8" ht="15" customHeight="1">
      <c r="G18" s="4" t="s">
        <v>32</v>
      </c>
      <c r="H18" s="4">
        <v>2380</v>
      </c>
    </row>
    <row r="19" spans="1:8" ht="15" customHeight="1">
      <c r="G19" s="4" t="s">
        <v>33</v>
      </c>
      <c r="H19" s="4">
        <v>2270</v>
      </c>
    </row>
    <row r="21" spans="1:8" ht="15" customHeight="1">
      <c r="A21" s="3" t="s">
        <v>12</v>
      </c>
      <c r="B21" s="3" t="s">
        <v>34</v>
      </c>
      <c r="C21" s="3" t="s">
        <v>30</v>
      </c>
    </row>
    <row r="22" spans="1:8" ht="15" customHeight="1">
      <c r="A22" s="4" t="s">
        <v>23</v>
      </c>
      <c r="B22" s="4">
        <v>10</v>
      </c>
      <c r="C22" s="4">
        <v>850</v>
      </c>
    </row>
    <row r="23" spans="1:8" ht="15" customHeight="1">
      <c r="A23" s="4" t="s">
        <v>21</v>
      </c>
      <c r="B23" s="4">
        <v>11</v>
      </c>
      <c r="C23" s="4">
        <v>825</v>
      </c>
    </row>
    <row r="24" spans="1:8" ht="15" customHeight="1">
      <c r="A24" s="4" t="s">
        <v>35</v>
      </c>
      <c r="B24" s="4">
        <v>5</v>
      </c>
      <c r="C24" s="4">
        <v>725</v>
      </c>
      <c r="G24" s="5">
        <v>6550</v>
      </c>
    </row>
    <row r="25" spans="1:8" ht="15" customHeight="1">
      <c r="A25" s="4" t="s">
        <v>17</v>
      </c>
      <c r="B25" s="4">
        <v>13</v>
      </c>
      <c r="C25" s="4">
        <v>715</v>
      </c>
    </row>
    <row r="26" spans="1:8" ht="15" customHeight="1">
      <c r="A26" s="4" t="s">
        <v>36</v>
      </c>
      <c r="B26" s="4">
        <v>4</v>
      </c>
      <c r="C26" s="4">
        <v>680</v>
      </c>
    </row>
    <row r="27" spans="1:8" ht="15" customHeight="1">
      <c r="A27" s="4" t="s">
        <v>15</v>
      </c>
      <c r="B27" s="4">
        <v>14</v>
      </c>
      <c r="C27" s="4">
        <v>630</v>
      </c>
    </row>
    <row r="28" spans="1:8" ht="15" customHeight="1">
      <c r="A28" s="4" t="s">
        <v>37</v>
      </c>
      <c r="B28" s="4">
        <v>5</v>
      </c>
      <c r="C28" s="4">
        <v>600</v>
      </c>
    </row>
    <row r="29" spans="1:8" ht="15" customHeight="1">
      <c r="A29" s="4" t="s">
        <v>38</v>
      </c>
      <c r="B29" s="4">
        <v>5</v>
      </c>
      <c r="C29" s="4">
        <v>600</v>
      </c>
    </row>
    <row r="30" spans="1:8" ht="15" customHeight="1">
      <c r="A30" s="4" t="s">
        <v>39</v>
      </c>
      <c r="B30" s="4">
        <v>9</v>
      </c>
      <c r="C30" s="4">
        <v>540</v>
      </c>
    </row>
    <row r="31" spans="1:8" ht="15" customHeight="1">
      <c r="A31" s="4" t="s">
        <v>19</v>
      </c>
      <c r="B31" s="4">
        <v>11</v>
      </c>
      <c r="C31" s="4">
        <v>385</v>
      </c>
    </row>
    <row r="32" spans="1:8" ht="15.75" customHeight="1"/>
    <row r="33" spans="1:2" ht="15.75" customHeight="1"/>
    <row r="34" spans="1:2" ht="15.75" customHeight="1"/>
    <row r="35" spans="1:2" ht="15.75" customHeight="1"/>
    <row r="36" spans="1:2" ht="15" customHeight="1">
      <c r="A36" s="3" t="s">
        <v>40</v>
      </c>
      <c r="B36" s="3" t="s">
        <v>30</v>
      </c>
    </row>
    <row r="37" spans="1:2" ht="15" customHeight="1">
      <c r="A37" s="4" t="s">
        <v>41</v>
      </c>
      <c r="B37" s="4">
        <v>630</v>
      </c>
    </row>
    <row r="38" spans="1:2" ht="15" customHeight="1">
      <c r="A38" s="4" t="s">
        <v>42</v>
      </c>
      <c r="B38" s="4">
        <v>600</v>
      </c>
    </row>
    <row r="39" spans="1:2" ht="15" customHeight="1">
      <c r="A39" s="4" t="s">
        <v>43</v>
      </c>
      <c r="B39" s="4">
        <v>1565</v>
      </c>
    </row>
    <row r="40" spans="1:2" ht="15" customHeight="1">
      <c r="A40" s="4" t="s">
        <v>44</v>
      </c>
      <c r="B40" s="4">
        <v>2645</v>
      </c>
    </row>
    <row r="41" spans="1:2" ht="15" customHeight="1">
      <c r="A41" s="4" t="s">
        <v>45</v>
      </c>
      <c r="B41" s="4">
        <v>1110</v>
      </c>
    </row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6F146C8-4197-475C-AD98-6F1D3D664C3D}" filter="1" showAutoFilter="1">
      <pageMargins left="0.7" right="0.7" top="0.75" bottom="0.75" header="0.3" footer="0.3"/>
      <autoFilter ref="A6:B16" xr:uid="{8A74CD36-6F16-49D8-85DE-99482F21780D}"/>
      <extLst>
        <ext uri="GoogleSheetsCustomDataVersion1">
          <go:sheetsCustomData xmlns:go="http://customooxmlschemas.google.com/" filterViewId="624455688"/>
        </ext>
      </extLst>
    </customSheetView>
    <customSheetView guid="{61B23019-B46B-43B4-BC30-6F69472095B8}" filter="1" showAutoFilter="1">
      <pageMargins left="0.7" right="0.7" top="0.75" bottom="0.75" header="0.3" footer="0.3"/>
      <autoFilter ref="A21:C31" xr:uid="{67FCB201-AE00-4ADB-8B22-41FD4B911CBD}"/>
      <extLst>
        <ext uri="GoogleSheetsCustomDataVersion1">
          <go:sheetsCustomData xmlns:go="http://customooxmlschemas.google.com/" filterViewId="4170071"/>
        </ext>
      </extLst>
    </customSheetView>
    <customSheetView guid="{E2481CE4-EAA6-472D-B9CB-0EF40FA0FFED}" filter="1" showAutoFilter="1">
      <pageMargins left="0.7" right="0.7" top="0.75" bottom="0.75" header="0.3" footer="0.3"/>
      <autoFilter ref="A36:B41" xr:uid="{8CB11ABC-9697-40B0-BF8E-95A63C69F054}"/>
      <extLst>
        <ext uri="GoogleSheetsCustomDataVersion1">
          <go:sheetsCustomData xmlns:go="http://customooxmlschemas.google.com/" filterViewId="1450479129"/>
        </ext>
      </extLst>
    </customSheetView>
    <customSheetView guid="{1E75E658-BA77-4487-9C93-8C7B5151DB6B}" filter="1" showAutoFilter="1">
      <pageMargins left="0.7" right="0.7" top="0.75" bottom="0.75" header="0.3" footer="0.3"/>
      <autoFilter ref="G16:H19" xr:uid="{6C08DC46-20E4-4EFF-98DB-934EC44295B0}"/>
      <extLst>
        <ext uri="GoogleSheetsCustomDataVersion1">
          <go:sheetsCustomData xmlns:go="http://customooxmlschemas.google.com/" filterViewId="1151359388"/>
        </ext>
      </extLst>
    </customSheetView>
    <customSheetView guid="{AFEA2FDD-5815-47CA-A46E-35BC878B4A61}" filter="1" showAutoFilter="1">
      <pageMargins left="0.7" right="0.7" top="0.75" bottom="0.75" header="0.3" footer="0.3"/>
      <autoFilter ref="G6:H11" xr:uid="{CB53F321-CAFD-402F-8BB2-70222587587C}"/>
      <extLst>
        <ext uri="GoogleSheetsCustomDataVersion1">
          <go:sheetsCustomData xmlns:go="http://customooxmlschemas.google.com/" filterViewId="1133792571"/>
        </ext>
      </extLst>
    </customSheetView>
  </customSheetViews>
  <pageMargins left="0.7" right="0.7" top="0.75" bottom="0.75" header="0" footer="0"/>
  <pageSetup paperSize="9" orientation="portrait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2578125" defaultRowHeight="15" customHeight="1"/>
  <cols>
    <col min="1" max="1" width="14.140625" customWidth="1"/>
    <col min="2" max="2" width="27.7109375" customWidth="1"/>
    <col min="3" max="3" width="23.7109375" customWidth="1"/>
    <col min="4" max="4" width="14" customWidth="1"/>
    <col min="5" max="5" width="15.140625" customWidth="1"/>
    <col min="6" max="26" width="8.7109375" customWidth="1"/>
  </cols>
  <sheetData>
    <row r="1" spans="1:3" ht="15" customHeight="1">
      <c r="A1" s="6"/>
      <c r="B1" s="6"/>
      <c r="C1" s="6"/>
    </row>
    <row r="2" spans="1:3" ht="15" customHeight="1">
      <c r="A2" s="7"/>
      <c r="B2" s="6"/>
      <c r="C2" s="6"/>
    </row>
    <row r="3" spans="1:3" ht="15" customHeight="1">
      <c r="A3" s="7"/>
      <c r="B3" s="6"/>
      <c r="C3" s="6"/>
    </row>
    <row r="4" spans="1:3" ht="15" customHeight="1">
      <c r="A4" s="8" t="s">
        <v>46</v>
      </c>
      <c r="B4" s="9" t="s">
        <v>47</v>
      </c>
      <c r="C4" s="9" t="s">
        <v>48</v>
      </c>
    </row>
    <row r="5" spans="1:3" ht="15" customHeight="1">
      <c r="A5" s="10">
        <v>1</v>
      </c>
      <c r="B5" s="11" t="s">
        <v>26</v>
      </c>
      <c r="C5" s="11" t="s">
        <v>49</v>
      </c>
    </row>
    <row r="6" spans="1:3" ht="15" customHeight="1">
      <c r="A6" s="10">
        <v>2</v>
      </c>
      <c r="B6" s="11" t="s">
        <v>24</v>
      </c>
      <c r="C6" s="11" t="s">
        <v>50</v>
      </c>
    </row>
    <row r="7" spans="1:3" ht="15" customHeight="1">
      <c r="A7" s="10">
        <v>3</v>
      </c>
      <c r="B7" s="11" t="s">
        <v>18</v>
      </c>
      <c r="C7" s="11" t="s">
        <v>51</v>
      </c>
    </row>
    <row r="8" spans="1:3" ht="15" customHeight="1">
      <c r="A8" s="10">
        <v>4</v>
      </c>
      <c r="B8" s="11" t="s">
        <v>27</v>
      </c>
      <c r="C8" s="11" t="s">
        <v>52</v>
      </c>
    </row>
    <row r="9" spans="1:3" ht="15" customHeight="1">
      <c r="A9" s="10">
        <v>5</v>
      </c>
      <c r="B9" s="11" t="s">
        <v>28</v>
      </c>
      <c r="C9" s="11" t="s">
        <v>49</v>
      </c>
    </row>
    <row r="10" spans="1:3" ht="15" customHeight="1">
      <c r="A10" s="10">
        <v>6</v>
      </c>
      <c r="B10" s="11" t="s">
        <v>20</v>
      </c>
      <c r="C10" s="11" t="s">
        <v>53</v>
      </c>
    </row>
    <row r="11" spans="1:3" ht="15" customHeight="1">
      <c r="A11" s="10">
        <v>7</v>
      </c>
      <c r="B11" s="11" t="s">
        <v>25</v>
      </c>
      <c r="C11" s="11" t="s">
        <v>49</v>
      </c>
    </row>
    <row r="12" spans="1:3" ht="15" customHeight="1">
      <c r="A12" s="4">
        <v>8</v>
      </c>
      <c r="B12" s="4" t="s">
        <v>22</v>
      </c>
      <c r="C12" s="4" t="s">
        <v>50</v>
      </c>
    </row>
    <row r="13" spans="1:3" ht="15" customHeight="1">
      <c r="A13" s="4">
        <v>9</v>
      </c>
      <c r="B13" s="4" t="s">
        <v>14</v>
      </c>
      <c r="C13" s="4" t="s">
        <v>51</v>
      </c>
    </row>
    <row r="14" spans="1:3" ht="15" customHeight="1">
      <c r="A14" s="4">
        <v>10</v>
      </c>
      <c r="B14" s="4" t="s">
        <v>16</v>
      </c>
      <c r="C14" s="4" t="s">
        <v>49</v>
      </c>
    </row>
    <row r="19" spans="1:4" ht="15" customHeight="1">
      <c r="A19" s="3" t="s">
        <v>54</v>
      </c>
      <c r="B19" s="3" t="s">
        <v>55</v>
      </c>
      <c r="C19" s="3" t="s">
        <v>40</v>
      </c>
      <c r="D19" s="3" t="s">
        <v>56</v>
      </c>
    </row>
    <row r="20" spans="1:4" ht="15" customHeight="1">
      <c r="A20" s="4">
        <v>1</v>
      </c>
      <c r="B20" s="4" t="s">
        <v>39</v>
      </c>
      <c r="C20" s="4" t="s">
        <v>44</v>
      </c>
      <c r="D20" s="4">
        <v>60</v>
      </c>
    </row>
    <row r="21" spans="1:4" ht="15" customHeight="1">
      <c r="A21" s="4">
        <v>2</v>
      </c>
      <c r="B21" s="4" t="s">
        <v>23</v>
      </c>
      <c r="C21" s="4" t="s">
        <v>43</v>
      </c>
      <c r="D21" s="4">
        <v>85</v>
      </c>
    </row>
    <row r="22" spans="1:4" ht="15" customHeight="1">
      <c r="A22" s="4">
        <v>3</v>
      </c>
      <c r="B22" s="4" t="s">
        <v>15</v>
      </c>
      <c r="C22" s="4" t="s">
        <v>41</v>
      </c>
      <c r="D22" s="4">
        <v>45</v>
      </c>
    </row>
    <row r="23" spans="1:4" ht="15" customHeight="1">
      <c r="A23" s="4">
        <v>4</v>
      </c>
      <c r="B23" s="4" t="s">
        <v>37</v>
      </c>
      <c r="C23" s="4" t="s">
        <v>42</v>
      </c>
      <c r="D23" s="4">
        <v>120</v>
      </c>
    </row>
    <row r="24" spans="1:4" ht="15" customHeight="1">
      <c r="A24" s="4">
        <v>5</v>
      </c>
      <c r="B24" s="4" t="s">
        <v>19</v>
      </c>
      <c r="C24" s="4" t="s">
        <v>45</v>
      </c>
      <c r="D24" s="4">
        <v>35</v>
      </c>
    </row>
    <row r="25" spans="1:4" ht="15" customHeight="1">
      <c r="A25" s="4">
        <v>6</v>
      </c>
      <c r="B25" s="4" t="s">
        <v>35</v>
      </c>
      <c r="C25" s="4" t="s">
        <v>45</v>
      </c>
      <c r="D25" s="4">
        <v>145</v>
      </c>
    </row>
    <row r="26" spans="1:4" ht="15" customHeight="1">
      <c r="A26" s="4">
        <v>7</v>
      </c>
      <c r="B26" s="4" t="s">
        <v>38</v>
      </c>
      <c r="C26" s="4" t="s">
        <v>44</v>
      </c>
      <c r="D26" s="4">
        <v>120</v>
      </c>
    </row>
    <row r="27" spans="1:4" ht="15" customHeight="1">
      <c r="A27" s="4">
        <v>8</v>
      </c>
      <c r="B27" s="4" t="s">
        <v>17</v>
      </c>
      <c r="C27" s="4" t="s">
        <v>43</v>
      </c>
      <c r="D27" s="4">
        <v>55</v>
      </c>
    </row>
    <row r="28" spans="1:4" ht="15" customHeight="1">
      <c r="A28" s="4">
        <v>9</v>
      </c>
      <c r="B28" s="4" t="s">
        <v>21</v>
      </c>
      <c r="C28" s="4" t="s">
        <v>44</v>
      </c>
      <c r="D28" s="4">
        <v>75</v>
      </c>
    </row>
    <row r="29" spans="1:4" ht="15" customHeight="1">
      <c r="A29" s="4">
        <v>10</v>
      </c>
      <c r="B29" s="4" t="s">
        <v>36</v>
      </c>
      <c r="C29" s="4" t="s">
        <v>44</v>
      </c>
      <c r="D29" s="4">
        <v>170</v>
      </c>
    </row>
    <row r="30" spans="1:4" ht="15.75" customHeight="1"/>
    <row r="31" spans="1:4" ht="15.75" customHeight="1"/>
    <row r="32" spans="1:4" ht="15.75" customHeight="1"/>
    <row r="33" spans="1:5" ht="15.75" customHeight="1"/>
    <row r="34" spans="1:5" ht="15.75" customHeight="1"/>
    <row r="35" spans="1:5" ht="15" customHeight="1">
      <c r="A35" s="3" t="s">
        <v>57</v>
      </c>
      <c r="B35" s="3" t="s">
        <v>58</v>
      </c>
      <c r="C35" s="3" t="s">
        <v>46</v>
      </c>
      <c r="D35" s="3" t="s">
        <v>54</v>
      </c>
      <c r="E35" s="3" t="s">
        <v>59</v>
      </c>
    </row>
    <row r="36" spans="1:5" ht="15" customHeight="1">
      <c r="A36" s="12">
        <v>1</v>
      </c>
      <c r="B36" s="4" t="s">
        <v>60</v>
      </c>
      <c r="C36" s="4">
        <v>1</v>
      </c>
      <c r="D36" s="4">
        <v>1</v>
      </c>
      <c r="E36" s="4">
        <v>2</v>
      </c>
    </row>
    <row r="37" spans="1:5" ht="15" customHeight="1">
      <c r="A37" s="12">
        <v>2</v>
      </c>
      <c r="B37" s="4" t="s">
        <v>61</v>
      </c>
      <c r="C37" s="4">
        <v>2</v>
      </c>
      <c r="D37" s="4">
        <v>2</v>
      </c>
      <c r="E37" s="4">
        <v>3</v>
      </c>
    </row>
    <row r="38" spans="1:5" ht="15" customHeight="1">
      <c r="A38" s="12">
        <v>3</v>
      </c>
      <c r="B38" s="4" t="s">
        <v>62</v>
      </c>
      <c r="C38" s="4">
        <v>3</v>
      </c>
      <c r="D38" s="4">
        <v>4</v>
      </c>
      <c r="E38" s="4">
        <v>1</v>
      </c>
    </row>
    <row r="39" spans="1:5" ht="15" customHeight="1">
      <c r="A39" s="12">
        <v>4</v>
      </c>
      <c r="B39" s="4" t="s">
        <v>63</v>
      </c>
      <c r="C39" s="4">
        <v>1</v>
      </c>
      <c r="D39" s="4">
        <v>3</v>
      </c>
      <c r="E39" s="4">
        <v>5</v>
      </c>
    </row>
    <row r="40" spans="1:5" ht="15" customHeight="1">
      <c r="A40" s="12">
        <v>5</v>
      </c>
      <c r="B40" s="4" t="s">
        <v>64</v>
      </c>
      <c r="C40" s="4">
        <v>4</v>
      </c>
      <c r="D40" s="4">
        <v>5</v>
      </c>
      <c r="E40" s="4">
        <v>2</v>
      </c>
    </row>
    <row r="41" spans="1:5" ht="15" customHeight="1">
      <c r="A41" s="12">
        <v>6</v>
      </c>
      <c r="B41" s="4" t="s">
        <v>65</v>
      </c>
      <c r="C41" s="4">
        <v>5</v>
      </c>
      <c r="D41" s="4">
        <v>6</v>
      </c>
      <c r="E41" s="4">
        <v>1</v>
      </c>
    </row>
    <row r="42" spans="1:5" ht="15" customHeight="1">
      <c r="A42" s="12">
        <v>7</v>
      </c>
      <c r="B42" s="4" t="s">
        <v>66</v>
      </c>
      <c r="C42" s="4">
        <v>6</v>
      </c>
      <c r="D42" s="4">
        <v>7</v>
      </c>
      <c r="E42" s="4">
        <v>2</v>
      </c>
    </row>
    <row r="43" spans="1:5" ht="15" customHeight="1">
      <c r="A43" s="12">
        <v>8</v>
      </c>
      <c r="B43" s="4" t="s">
        <v>67</v>
      </c>
      <c r="C43" s="4">
        <v>7</v>
      </c>
      <c r="D43" s="4">
        <v>8</v>
      </c>
      <c r="E43" s="4">
        <v>6</v>
      </c>
    </row>
    <row r="44" spans="1:5" ht="15" customHeight="1">
      <c r="A44" s="12">
        <v>9</v>
      </c>
      <c r="B44" s="4" t="s">
        <v>68</v>
      </c>
      <c r="C44" s="4">
        <v>8</v>
      </c>
      <c r="D44" s="4">
        <v>9</v>
      </c>
      <c r="E44" s="4">
        <v>3</v>
      </c>
    </row>
    <row r="45" spans="1:5" ht="15" customHeight="1">
      <c r="A45" s="12">
        <v>10</v>
      </c>
      <c r="B45" s="4" t="s">
        <v>69</v>
      </c>
      <c r="C45" s="4">
        <v>9</v>
      </c>
      <c r="D45" s="4">
        <v>10</v>
      </c>
      <c r="E45" s="4">
        <v>1</v>
      </c>
    </row>
    <row r="46" spans="1:5" ht="15" customHeight="1">
      <c r="A46" s="12">
        <v>11</v>
      </c>
      <c r="B46" s="4" t="s">
        <v>70</v>
      </c>
      <c r="C46" s="4">
        <v>10</v>
      </c>
      <c r="D46" s="4">
        <v>1</v>
      </c>
      <c r="E46" s="4">
        <v>4</v>
      </c>
    </row>
    <row r="47" spans="1:5" ht="15" customHeight="1">
      <c r="A47" s="12">
        <v>12</v>
      </c>
      <c r="B47" s="4" t="s">
        <v>71</v>
      </c>
      <c r="C47" s="4">
        <v>2</v>
      </c>
      <c r="D47" s="4">
        <v>2</v>
      </c>
      <c r="E47" s="4">
        <v>2</v>
      </c>
    </row>
    <row r="48" spans="1:5" ht="15" customHeight="1">
      <c r="A48" s="12">
        <v>13</v>
      </c>
      <c r="B48" s="4" t="s">
        <v>72</v>
      </c>
      <c r="C48" s="4">
        <v>3</v>
      </c>
      <c r="D48" s="4">
        <v>3</v>
      </c>
      <c r="E48" s="4">
        <v>3</v>
      </c>
    </row>
    <row r="49" spans="1:5" ht="15" customHeight="1">
      <c r="A49" s="12">
        <v>14</v>
      </c>
      <c r="B49" s="4" t="s">
        <v>73</v>
      </c>
      <c r="C49" s="4">
        <v>4</v>
      </c>
      <c r="D49" s="4">
        <v>4</v>
      </c>
      <c r="E49" s="4">
        <v>2</v>
      </c>
    </row>
    <row r="50" spans="1:5" ht="15" customHeight="1">
      <c r="A50" s="12">
        <v>15</v>
      </c>
      <c r="B50" s="4" t="s">
        <v>74</v>
      </c>
      <c r="C50" s="4">
        <v>5</v>
      </c>
      <c r="D50" s="4">
        <v>5</v>
      </c>
      <c r="E50" s="4">
        <v>5</v>
      </c>
    </row>
    <row r="51" spans="1:5" ht="15" customHeight="1">
      <c r="A51" s="12">
        <v>16</v>
      </c>
      <c r="B51" s="4" t="s">
        <v>75</v>
      </c>
      <c r="C51" s="4">
        <v>6</v>
      </c>
      <c r="D51" s="4">
        <v>6</v>
      </c>
      <c r="E51" s="4">
        <v>2</v>
      </c>
    </row>
    <row r="52" spans="1:5" ht="15" customHeight="1">
      <c r="A52" s="12">
        <v>17</v>
      </c>
      <c r="B52" s="4" t="s">
        <v>76</v>
      </c>
      <c r="C52" s="4">
        <v>7</v>
      </c>
      <c r="D52" s="4">
        <v>7</v>
      </c>
      <c r="E52" s="4">
        <v>1</v>
      </c>
    </row>
    <row r="53" spans="1:5" ht="15" customHeight="1">
      <c r="A53" s="12">
        <v>18</v>
      </c>
      <c r="B53" s="4" t="s">
        <v>77</v>
      </c>
      <c r="C53" s="4">
        <v>8</v>
      </c>
      <c r="D53" s="4">
        <v>8</v>
      </c>
      <c r="E53" s="4">
        <v>4</v>
      </c>
    </row>
    <row r="54" spans="1:5" ht="15" customHeight="1">
      <c r="A54" s="12">
        <v>19</v>
      </c>
      <c r="B54" s="4" t="s">
        <v>78</v>
      </c>
      <c r="C54" s="4">
        <v>9</v>
      </c>
      <c r="D54" s="4">
        <v>9</v>
      </c>
      <c r="E54" s="4">
        <v>6</v>
      </c>
    </row>
    <row r="55" spans="1:5" ht="15" customHeight="1">
      <c r="A55" s="12">
        <v>20</v>
      </c>
      <c r="B55" s="4" t="s">
        <v>79</v>
      </c>
      <c r="C55" s="4">
        <v>10</v>
      </c>
      <c r="D55" s="4">
        <v>10</v>
      </c>
      <c r="E55" s="4">
        <v>2</v>
      </c>
    </row>
    <row r="56" spans="1:5" ht="15" customHeight="1">
      <c r="A56" s="12">
        <v>21</v>
      </c>
      <c r="B56" s="4" t="s">
        <v>80</v>
      </c>
      <c r="C56" s="4">
        <v>1</v>
      </c>
      <c r="D56" s="4">
        <v>4</v>
      </c>
      <c r="E56" s="4">
        <v>2</v>
      </c>
    </row>
    <row r="57" spans="1:5" ht="15" customHeight="1">
      <c r="A57" s="12">
        <v>22</v>
      </c>
      <c r="B57" s="4" t="s">
        <v>81</v>
      </c>
      <c r="C57" s="4">
        <v>2</v>
      </c>
      <c r="D57" s="4">
        <v>8</v>
      </c>
      <c r="E57" s="4">
        <v>3</v>
      </c>
    </row>
    <row r="58" spans="1:5" ht="15" customHeight="1">
      <c r="A58" s="12">
        <v>23</v>
      </c>
      <c r="B58" s="4" t="s">
        <v>82</v>
      </c>
      <c r="C58" s="4">
        <v>3</v>
      </c>
      <c r="D58" s="4">
        <v>2</v>
      </c>
      <c r="E58" s="4">
        <v>5</v>
      </c>
    </row>
    <row r="59" spans="1:5" ht="15" customHeight="1">
      <c r="A59" s="12">
        <v>24</v>
      </c>
      <c r="B59" s="4" t="s">
        <v>83</v>
      </c>
      <c r="C59" s="4">
        <v>4</v>
      </c>
      <c r="D59" s="4">
        <v>7</v>
      </c>
      <c r="E59" s="4">
        <v>2</v>
      </c>
    </row>
    <row r="60" spans="1:5" ht="15" customHeight="1">
      <c r="A60" s="12">
        <v>25</v>
      </c>
      <c r="B60" s="4" t="s">
        <v>84</v>
      </c>
      <c r="C60" s="4">
        <v>5</v>
      </c>
      <c r="D60" s="4">
        <v>1</v>
      </c>
      <c r="E60" s="4">
        <v>3</v>
      </c>
    </row>
    <row r="61" spans="1:5" ht="15" customHeight="1">
      <c r="A61" s="12">
        <v>26</v>
      </c>
      <c r="B61" s="4" t="s">
        <v>85</v>
      </c>
      <c r="C61" s="4">
        <v>6</v>
      </c>
      <c r="D61" s="4">
        <v>9</v>
      </c>
      <c r="E61" s="4">
        <v>2</v>
      </c>
    </row>
    <row r="62" spans="1:5" ht="15" customHeight="1">
      <c r="A62" s="12">
        <v>27</v>
      </c>
      <c r="B62" s="4" t="s">
        <v>86</v>
      </c>
      <c r="C62" s="4">
        <v>7</v>
      </c>
      <c r="D62" s="4">
        <v>5</v>
      </c>
      <c r="E62" s="4">
        <v>4</v>
      </c>
    </row>
    <row r="63" spans="1:5" ht="15" customHeight="1">
      <c r="A63" s="12">
        <v>28</v>
      </c>
      <c r="B63" s="4" t="s">
        <v>87</v>
      </c>
      <c r="C63" s="4">
        <v>8</v>
      </c>
      <c r="D63" s="4">
        <v>10</v>
      </c>
      <c r="E63" s="4">
        <v>1</v>
      </c>
    </row>
    <row r="64" spans="1:5" ht="15" customHeight="1">
      <c r="A64" s="12">
        <v>29</v>
      </c>
      <c r="B64" s="4" t="s">
        <v>88</v>
      </c>
      <c r="C64" s="4">
        <v>9</v>
      </c>
      <c r="D64" s="4">
        <v>6</v>
      </c>
      <c r="E64" s="4">
        <v>2</v>
      </c>
    </row>
    <row r="65" spans="1:5" ht="15" customHeight="1">
      <c r="A65" s="12">
        <v>30</v>
      </c>
      <c r="B65" s="4" t="s">
        <v>89</v>
      </c>
      <c r="C65" s="4">
        <v>10</v>
      </c>
      <c r="D65" s="4">
        <v>3</v>
      </c>
      <c r="E65" s="4">
        <v>6</v>
      </c>
    </row>
    <row r="66" spans="1:5" ht="15.75" customHeight="1"/>
    <row r="67" spans="1:5" ht="15.75" customHeight="1"/>
    <row r="68" spans="1:5" ht="15.75" customHeight="1"/>
    <row r="69" spans="1:5" ht="15.75" customHeight="1"/>
    <row r="70" spans="1:5" ht="15.75" customHeight="1"/>
    <row r="71" spans="1:5" ht="15.75" customHeight="1"/>
    <row r="72" spans="1:5" ht="15.75" customHeight="1"/>
    <row r="73" spans="1:5" ht="15.75" customHeight="1"/>
    <row r="74" spans="1:5" ht="15.75" customHeight="1"/>
    <row r="75" spans="1:5" ht="15.75" customHeight="1"/>
    <row r="76" spans="1:5" ht="15.75" customHeight="1"/>
    <row r="77" spans="1:5" ht="15.75" customHeight="1"/>
    <row r="78" spans="1:5" ht="15.75" customHeight="1"/>
    <row r="79" spans="1:5" ht="15.75" customHeight="1"/>
    <row r="80" spans="1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8325354-1D1E-4893-9067-CC1C3F57501F}" filter="1" showAutoFilter="1">
      <pageMargins left="0.7" right="0.7" top="0.75" bottom="0.75" header="0.3" footer="0.3"/>
      <autoFilter ref="A4:C14" xr:uid="{5E97B1F6-F7A6-46F3-A31E-1CBC2BEA7184}"/>
      <extLst>
        <ext uri="GoogleSheetsCustomDataVersion1">
          <go:sheetsCustomData xmlns:go="http://customooxmlschemas.google.com/" filterViewId="869890172"/>
        </ext>
      </extLst>
    </customSheetView>
    <customSheetView guid="{5E9FE6B5-B118-427C-B522-AC8EB8B1C78A}" filter="1" showAutoFilter="1">
      <pageMargins left="0.7" right="0.7" top="0.75" bottom="0.75" header="0.3" footer="0.3"/>
      <autoFilter ref="A35:E65" xr:uid="{3D51F57A-10E3-4B79-83B4-C526AF962873}"/>
      <extLst>
        <ext uri="GoogleSheetsCustomDataVersion1">
          <go:sheetsCustomData xmlns:go="http://customooxmlschemas.google.com/" filterViewId="615850819"/>
        </ext>
      </extLst>
    </customSheetView>
    <customSheetView guid="{006DE8DA-C6B8-48B7-BA83-319F64B56447}" filter="1" showAutoFilter="1">
      <pageMargins left="0.7" right="0.7" top="0.75" bottom="0.75" header="0.3" footer="0.3"/>
      <autoFilter ref="A19:D29" xr:uid="{7466BD98-531C-4F34-8287-A4AE8A348BF5}"/>
      <extLst>
        <ext uri="GoogleSheetsCustomDataVersion1">
          <go:sheetsCustomData xmlns:go="http://customooxmlschemas.google.com/" filterViewId="1681484340"/>
        </ext>
      </extLst>
    </customSheetView>
  </customSheetViews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000"/>
  <sheetViews>
    <sheetView workbookViewId="0"/>
  </sheetViews>
  <sheetFormatPr defaultColWidth="14.42578125" defaultRowHeight="15" customHeight="1"/>
  <cols>
    <col min="1" max="1" width="22.7109375" customWidth="1"/>
    <col min="2" max="2" width="23.5703125" customWidth="1"/>
    <col min="3" max="3" width="15.7109375" customWidth="1"/>
    <col min="4" max="26" width="8.7109375" customWidth="1"/>
  </cols>
  <sheetData>
    <row r="3" spans="1:2" ht="15" customHeight="1">
      <c r="A3" s="34" t="s">
        <v>10</v>
      </c>
      <c r="B3" s="35" t="s">
        <v>90</v>
      </c>
    </row>
    <row r="4" spans="1:2" ht="15" customHeight="1">
      <c r="A4" s="36" t="s">
        <v>27</v>
      </c>
      <c r="B4" s="37">
        <v>550</v>
      </c>
    </row>
    <row r="5" spans="1:2" ht="15" customHeight="1">
      <c r="A5" s="38" t="s">
        <v>22</v>
      </c>
      <c r="B5" s="39">
        <v>615</v>
      </c>
    </row>
    <row r="6" spans="1:2" ht="15" customHeight="1">
      <c r="A6" s="38" t="s">
        <v>14</v>
      </c>
      <c r="B6" s="39">
        <v>910</v>
      </c>
    </row>
    <row r="7" spans="1:2" ht="15" customHeight="1">
      <c r="A7" s="38" t="s">
        <v>20</v>
      </c>
      <c r="B7" s="39">
        <v>680</v>
      </c>
    </row>
    <row r="8" spans="1:2" ht="15" customHeight="1">
      <c r="A8" s="38" t="s">
        <v>28</v>
      </c>
      <c r="B8" s="39">
        <v>500</v>
      </c>
    </row>
    <row r="9" spans="1:2" ht="15" customHeight="1">
      <c r="A9" s="38" t="s">
        <v>26</v>
      </c>
      <c r="B9" s="39">
        <v>585</v>
      </c>
    </row>
    <row r="10" spans="1:2" ht="15" customHeight="1">
      <c r="A10" s="38" t="s">
        <v>24</v>
      </c>
      <c r="B10" s="39">
        <v>590</v>
      </c>
    </row>
    <row r="11" spans="1:2" ht="15" customHeight="1">
      <c r="A11" s="38" t="s">
        <v>25</v>
      </c>
      <c r="B11" s="39">
        <v>590</v>
      </c>
    </row>
    <row r="12" spans="1:2" ht="15" customHeight="1">
      <c r="A12" s="38" t="s">
        <v>16</v>
      </c>
      <c r="B12" s="39">
        <v>850</v>
      </c>
    </row>
    <row r="13" spans="1:2" ht="15" customHeight="1">
      <c r="A13" s="38" t="s">
        <v>18</v>
      </c>
      <c r="B13" s="39">
        <v>680</v>
      </c>
    </row>
    <row r="14" spans="1:2" ht="15" customHeight="1">
      <c r="A14" s="40" t="s">
        <v>95</v>
      </c>
      <c r="B14" s="41">
        <v>6550</v>
      </c>
    </row>
    <row r="18" spans="1:3" ht="15" customHeight="1">
      <c r="A18" s="36"/>
      <c r="B18" s="34" t="s">
        <v>96</v>
      </c>
      <c r="C18" s="42"/>
    </row>
    <row r="19" spans="1:3" ht="15" customHeight="1">
      <c r="A19" s="34" t="s">
        <v>12</v>
      </c>
      <c r="B19" s="36" t="s">
        <v>91</v>
      </c>
      <c r="C19" s="43" t="s">
        <v>92</v>
      </c>
    </row>
    <row r="20" spans="1:3" ht="15" customHeight="1">
      <c r="A20" s="36" t="s">
        <v>15</v>
      </c>
      <c r="B20" s="44">
        <v>14</v>
      </c>
      <c r="C20" s="45">
        <v>630</v>
      </c>
    </row>
    <row r="21" spans="1:3" ht="15" customHeight="1">
      <c r="A21" s="38" t="s">
        <v>37</v>
      </c>
      <c r="B21" s="46">
        <v>5</v>
      </c>
      <c r="C21" s="47">
        <v>600</v>
      </c>
    </row>
    <row r="22" spans="1:3" ht="15" customHeight="1">
      <c r="A22" s="38" t="s">
        <v>36</v>
      </c>
      <c r="B22" s="46">
        <v>4</v>
      </c>
      <c r="C22" s="47">
        <v>680</v>
      </c>
    </row>
    <row r="23" spans="1:3" ht="15" customHeight="1">
      <c r="A23" s="38" t="s">
        <v>38</v>
      </c>
      <c r="B23" s="46">
        <v>5</v>
      </c>
      <c r="C23" s="47">
        <v>600</v>
      </c>
    </row>
    <row r="24" spans="1:3" ht="15" customHeight="1">
      <c r="A24" s="38" t="s">
        <v>23</v>
      </c>
      <c r="B24" s="46">
        <v>10</v>
      </c>
      <c r="C24" s="47">
        <v>850</v>
      </c>
    </row>
    <row r="25" spans="1:3" ht="15" customHeight="1">
      <c r="A25" s="38" t="s">
        <v>39</v>
      </c>
      <c r="B25" s="46">
        <v>9</v>
      </c>
      <c r="C25" s="47">
        <v>540</v>
      </c>
    </row>
    <row r="26" spans="1:3" ht="15" customHeight="1">
      <c r="A26" s="38" t="s">
        <v>35</v>
      </c>
      <c r="B26" s="46">
        <v>5</v>
      </c>
      <c r="C26" s="47">
        <v>725</v>
      </c>
    </row>
    <row r="27" spans="1:3" ht="15" customHeight="1">
      <c r="A27" s="38" t="s">
        <v>19</v>
      </c>
      <c r="B27" s="46">
        <v>11</v>
      </c>
      <c r="C27" s="47">
        <v>385</v>
      </c>
    </row>
    <row r="28" spans="1:3" ht="15" customHeight="1">
      <c r="A28" s="38" t="s">
        <v>17</v>
      </c>
      <c r="B28" s="46">
        <v>13</v>
      </c>
      <c r="C28" s="47">
        <v>715</v>
      </c>
    </row>
    <row r="29" spans="1:3" ht="15" customHeight="1">
      <c r="A29" s="48" t="s">
        <v>21</v>
      </c>
      <c r="B29" s="49">
        <v>11</v>
      </c>
      <c r="C29" s="50">
        <v>825</v>
      </c>
    </row>
    <row r="30" spans="1:3" ht="15" customHeight="1">
      <c r="A30" s="13"/>
      <c r="B30" s="14"/>
      <c r="C30" s="15"/>
    </row>
    <row r="31" spans="1:3" ht="15.75" customHeight="1"/>
    <row r="32" spans="1:3" ht="15" customHeight="1">
      <c r="A32" s="34" t="s">
        <v>40</v>
      </c>
      <c r="B32" s="35" t="s">
        <v>92</v>
      </c>
    </row>
    <row r="33" spans="1:2" ht="15" customHeight="1">
      <c r="A33" s="36" t="s">
        <v>41</v>
      </c>
      <c r="B33" s="37">
        <v>630</v>
      </c>
    </row>
    <row r="34" spans="1:2" ht="15" customHeight="1">
      <c r="A34" s="38" t="s">
        <v>42</v>
      </c>
      <c r="B34" s="39">
        <v>600</v>
      </c>
    </row>
    <row r="35" spans="1:2" ht="15" customHeight="1">
      <c r="A35" s="38" t="s">
        <v>43</v>
      </c>
      <c r="B35" s="39">
        <v>1565</v>
      </c>
    </row>
    <row r="36" spans="1:2" ht="15" customHeight="1">
      <c r="A36" s="38" t="s">
        <v>44</v>
      </c>
      <c r="B36" s="39">
        <v>2645</v>
      </c>
    </row>
    <row r="37" spans="1:2" ht="15" customHeight="1">
      <c r="A37" s="38" t="s">
        <v>45</v>
      </c>
      <c r="B37" s="39">
        <v>1110</v>
      </c>
    </row>
    <row r="38" spans="1:2" ht="15" customHeight="1">
      <c r="A38" s="40" t="s">
        <v>95</v>
      </c>
      <c r="B38" s="41">
        <v>6550</v>
      </c>
    </row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2" customWidth="1"/>
    <col min="2" max="2" width="14.42578125" customWidth="1"/>
    <col min="3" max="3" width="12.7109375" customWidth="1"/>
    <col min="4" max="4" width="20.5703125" customWidth="1"/>
    <col min="5" max="5" width="12" customWidth="1"/>
    <col min="6" max="6" width="19.42578125" customWidth="1"/>
    <col min="7" max="7" width="15.28515625" customWidth="1"/>
    <col min="8" max="8" width="16.5703125" customWidth="1"/>
    <col min="9" max="9" width="12.28515625" customWidth="1"/>
    <col min="10" max="10" width="12.42578125" customWidth="1"/>
    <col min="11" max="26" width="8.7109375" customWidth="1"/>
  </cols>
  <sheetData>
    <row r="1" spans="1:10" ht="15" customHeight="1">
      <c r="A1" s="16" t="s">
        <v>57</v>
      </c>
      <c r="B1" s="16" t="s">
        <v>58</v>
      </c>
      <c r="C1" s="16" t="s">
        <v>29</v>
      </c>
      <c r="D1" s="16" t="s">
        <v>47</v>
      </c>
      <c r="E1" s="16" t="s">
        <v>48</v>
      </c>
      <c r="F1" s="16" t="s">
        <v>55</v>
      </c>
      <c r="G1" s="16" t="s">
        <v>40</v>
      </c>
      <c r="H1" s="16" t="s">
        <v>59</v>
      </c>
      <c r="I1" s="16" t="s">
        <v>56</v>
      </c>
      <c r="J1" s="16" t="s">
        <v>30</v>
      </c>
    </row>
    <row r="2" spans="1:10" ht="15" customHeight="1">
      <c r="A2" s="17">
        <v>1</v>
      </c>
      <c r="B2" s="18">
        <v>46024</v>
      </c>
      <c r="C2" s="17" t="s">
        <v>31</v>
      </c>
      <c r="D2" s="17" t="s">
        <v>26</v>
      </c>
      <c r="E2" s="17" t="s">
        <v>49</v>
      </c>
      <c r="F2" s="17" t="s">
        <v>39</v>
      </c>
      <c r="G2" s="17" t="s">
        <v>44</v>
      </c>
      <c r="H2" s="17">
        <v>2</v>
      </c>
      <c r="I2" s="17">
        <v>60</v>
      </c>
      <c r="J2" s="17">
        <f t="shared" ref="J2:J31" si="0">H2*I2</f>
        <v>120</v>
      </c>
    </row>
    <row r="3" spans="1:10" ht="15" customHeight="1">
      <c r="A3" s="17">
        <v>2</v>
      </c>
      <c r="B3" s="18">
        <v>46025</v>
      </c>
      <c r="C3" s="17" t="s">
        <v>31</v>
      </c>
      <c r="D3" s="17" t="s">
        <v>24</v>
      </c>
      <c r="E3" s="17" t="s">
        <v>50</v>
      </c>
      <c r="F3" s="17" t="s">
        <v>23</v>
      </c>
      <c r="G3" s="17" t="s">
        <v>43</v>
      </c>
      <c r="H3" s="17">
        <v>3</v>
      </c>
      <c r="I3" s="17">
        <v>85</v>
      </c>
      <c r="J3" s="17">
        <f t="shared" si="0"/>
        <v>255</v>
      </c>
    </row>
    <row r="4" spans="1:10" ht="15" customHeight="1">
      <c r="A4" s="17">
        <v>3</v>
      </c>
      <c r="B4" s="18">
        <v>46027</v>
      </c>
      <c r="C4" s="17" t="s">
        <v>31</v>
      </c>
      <c r="D4" s="17" t="s">
        <v>18</v>
      </c>
      <c r="E4" s="17" t="s">
        <v>51</v>
      </c>
      <c r="F4" s="17" t="s">
        <v>37</v>
      </c>
      <c r="G4" s="17" t="s">
        <v>42</v>
      </c>
      <c r="H4" s="17">
        <v>1</v>
      </c>
      <c r="I4" s="17">
        <v>120</v>
      </c>
      <c r="J4" s="17">
        <f t="shared" si="0"/>
        <v>120</v>
      </c>
    </row>
    <row r="5" spans="1:10" ht="15" customHeight="1">
      <c r="A5" s="17">
        <v>4</v>
      </c>
      <c r="B5" s="18">
        <v>46029</v>
      </c>
      <c r="C5" s="17" t="s">
        <v>31</v>
      </c>
      <c r="D5" s="17" t="s">
        <v>26</v>
      </c>
      <c r="E5" s="17" t="s">
        <v>49</v>
      </c>
      <c r="F5" s="17" t="s">
        <v>15</v>
      </c>
      <c r="G5" s="17" t="s">
        <v>41</v>
      </c>
      <c r="H5" s="17">
        <v>5</v>
      </c>
      <c r="I5" s="17">
        <v>45</v>
      </c>
      <c r="J5" s="17">
        <f t="shared" si="0"/>
        <v>225</v>
      </c>
    </row>
    <row r="6" spans="1:10" ht="15" customHeight="1">
      <c r="A6" s="17">
        <v>5</v>
      </c>
      <c r="B6" s="18">
        <v>46030</v>
      </c>
      <c r="C6" s="17" t="s">
        <v>31</v>
      </c>
      <c r="D6" s="17" t="s">
        <v>27</v>
      </c>
      <c r="E6" s="17" t="s">
        <v>52</v>
      </c>
      <c r="F6" s="17" t="s">
        <v>19</v>
      </c>
      <c r="G6" s="17" t="s">
        <v>45</v>
      </c>
      <c r="H6" s="17">
        <v>2</v>
      </c>
      <c r="I6" s="17">
        <v>35</v>
      </c>
      <c r="J6" s="17">
        <f t="shared" si="0"/>
        <v>70</v>
      </c>
    </row>
    <row r="7" spans="1:10" ht="15" customHeight="1">
      <c r="A7" s="17">
        <v>6</v>
      </c>
      <c r="B7" s="18">
        <v>46032</v>
      </c>
      <c r="C7" s="17" t="s">
        <v>31</v>
      </c>
      <c r="D7" s="17" t="s">
        <v>28</v>
      </c>
      <c r="E7" s="17" t="s">
        <v>49</v>
      </c>
      <c r="F7" s="17" t="s">
        <v>35</v>
      </c>
      <c r="G7" s="17" t="s">
        <v>45</v>
      </c>
      <c r="H7" s="17">
        <v>1</v>
      </c>
      <c r="I7" s="17">
        <v>145</v>
      </c>
      <c r="J7" s="17">
        <f t="shared" si="0"/>
        <v>145</v>
      </c>
    </row>
    <row r="8" spans="1:10" ht="15" customHeight="1">
      <c r="A8" s="17">
        <v>7</v>
      </c>
      <c r="B8" s="18">
        <v>46034</v>
      </c>
      <c r="C8" s="17" t="s">
        <v>31</v>
      </c>
      <c r="D8" s="17" t="s">
        <v>20</v>
      </c>
      <c r="E8" s="17" t="s">
        <v>53</v>
      </c>
      <c r="F8" s="17" t="s">
        <v>38</v>
      </c>
      <c r="G8" s="17" t="s">
        <v>44</v>
      </c>
      <c r="H8" s="17">
        <v>2</v>
      </c>
      <c r="I8" s="17">
        <v>120</v>
      </c>
      <c r="J8" s="17">
        <f t="shared" si="0"/>
        <v>240</v>
      </c>
    </row>
    <row r="9" spans="1:10" ht="15" customHeight="1">
      <c r="A9" s="17">
        <v>8</v>
      </c>
      <c r="B9" s="18">
        <v>46035</v>
      </c>
      <c r="C9" s="17" t="s">
        <v>31</v>
      </c>
      <c r="D9" s="17" t="s">
        <v>25</v>
      </c>
      <c r="E9" s="17" t="s">
        <v>49</v>
      </c>
      <c r="F9" s="17" t="s">
        <v>17</v>
      </c>
      <c r="G9" s="17" t="s">
        <v>43</v>
      </c>
      <c r="H9" s="17">
        <v>6</v>
      </c>
      <c r="I9" s="17">
        <v>55</v>
      </c>
      <c r="J9" s="17">
        <f t="shared" si="0"/>
        <v>330</v>
      </c>
    </row>
    <row r="10" spans="1:10" ht="15" customHeight="1">
      <c r="A10" s="17">
        <v>9</v>
      </c>
      <c r="B10" s="18">
        <v>46037</v>
      </c>
      <c r="C10" s="17" t="s">
        <v>31</v>
      </c>
      <c r="D10" s="17" t="s">
        <v>22</v>
      </c>
      <c r="E10" s="17" t="s">
        <v>50</v>
      </c>
      <c r="F10" s="17" t="s">
        <v>21</v>
      </c>
      <c r="G10" s="17" t="s">
        <v>44</v>
      </c>
      <c r="H10" s="17">
        <v>3</v>
      </c>
      <c r="I10" s="17">
        <v>75</v>
      </c>
      <c r="J10" s="17">
        <f t="shared" si="0"/>
        <v>225</v>
      </c>
    </row>
    <row r="11" spans="1:10" ht="15" customHeight="1">
      <c r="A11" s="17">
        <v>10</v>
      </c>
      <c r="B11" s="18">
        <v>46038</v>
      </c>
      <c r="C11" s="17" t="s">
        <v>31</v>
      </c>
      <c r="D11" s="17" t="s">
        <v>14</v>
      </c>
      <c r="E11" s="17" t="s">
        <v>51</v>
      </c>
      <c r="F11" s="17" t="s">
        <v>36</v>
      </c>
      <c r="G11" s="17" t="s">
        <v>44</v>
      </c>
      <c r="H11" s="17">
        <v>1</v>
      </c>
      <c r="I11" s="17">
        <v>170</v>
      </c>
      <c r="J11" s="17">
        <f t="shared" si="0"/>
        <v>170</v>
      </c>
    </row>
    <row r="12" spans="1:10" ht="15" customHeight="1">
      <c r="A12" s="17">
        <v>11</v>
      </c>
      <c r="B12" s="18">
        <v>46054</v>
      </c>
      <c r="C12" s="17" t="s">
        <v>32</v>
      </c>
      <c r="D12" s="17" t="s">
        <v>16</v>
      </c>
      <c r="E12" s="17" t="s">
        <v>49</v>
      </c>
      <c r="F12" s="17" t="s">
        <v>39</v>
      </c>
      <c r="G12" s="17" t="s">
        <v>44</v>
      </c>
      <c r="H12" s="17">
        <v>4</v>
      </c>
      <c r="I12" s="17">
        <v>60</v>
      </c>
      <c r="J12" s="17">
        <f t="shared" si="0"/>
        <v>240</v>
      </c>
    </row>
    <row r="13" spans="1:10" ht="15" customHeight="1">
      <c r="A13" s="17">
        <v>12</v>
      </c>
      <c r="B13" s="18">
        <v>46055</v>
      </c>
      <c r="C13" s="17" t="s">
        <v>32</v>
      </c>
      <c r="D13" s="17" t="s">
        <v>24</v>
      </c>
      <c r="E13" s="17" t="s">
        <v>50</v>
      </c>
      <c r="F13" s="17" t="s">
        <v>23</v>
      </c>
      <c r="G13" s="17" t="s">
        <v>43</v>
      </c>
      <c r="H13" s="17">
        <v>2</v>
      </c>
      <c r="I13" s="17">
        <v>85</v>
      </c>
      <c r="J13" s="17">
        <f t="shared" si="0"/>
        <v>170</v>
      </c>
    </row>
    <row r="14" spans="1:10" ht="15" customHeight="1">
      <c r="A14" s="17">
        <v>13</v>
      </c>
      <c r="B14" s="18">
        <v>46056</v>
      </c>
      <c r="C14" s="17" t="s">
        <v>32</v>
      </c>
      <c r="D14" s="17" t="s">
        <v>18</v>
      </c>
      <c r="E14" s="17" t="s">
        <v>51</v>
      </c>
      <c r="F14" s="17" t="s">
        <v>15</v>
      </c>
      <c r="G14" s="17" t="s">
        <v>41</v>
      </c>
      <c r="H14" s="17">
        <v>3</v>
      </c>
      <c r="I14" s="17">
        <v>45</v>
      </c>
      <c r="J14" s="17">
        <f t="shared" si="0"/>
        <v>135</v>
      </c>
    </row>
    <row r="15" spans="1:10" ht="15" customHeight="1">
      <c r="A15" s="17">
        <v>14</v>
      </c>
      <c r="B15" s="18">
        <v>46058</v>
      </c>
      <c r="C15" s="17" t="s">
        <v>32</v>
      </c>
      <c r="D15" s="17" t="s">
        <v>27</v>
      </c>
      <c r="E15" s="17" t="s">
        <v>52</v>
      </c>
      <c r="F15" s="17" t="s">
        <v>37</v>
      </c>
      <c r="G15" s="17" t="s">
        <v>42</v>
      </c>
      <c r="H15" s="17">
        <v>2</v>
      </c>
      <c r="I15" s="17">
        <v>120</v>
      </c>
      <c r="J15" s="17">
        <f t="shared" si="0"/>
        <v>240</v>
      </c>
    </row>
    <row r="16" spans="1:10" ht="15" customHeight="1">
      <c r="A16" s="17">
        <v>15</v>
      </c>
      <c r="B16" s="18">
        <v>46059</v>
      </c>
      <c r="C16" s="17" t="s">
        <v>32</v>
      </c>
      <c r="D16" s="17" t="s">
        <v>28</v>
      </c>
      <c r="E16" s="17" t="s">
        <v>49</v>
      </c>
      <c r="F16" s="17" t="s">
        <v>19</v>
      </c>
      <c r="G16" s="17" t="s">
        <v>45</v>
      </c>
      <c r="H16" s="17">
        <v>5</v>
      </c>
      <c r="I16" s="17">
        <v>35</v>
      </c>
      <c r="J16" s="17">
        <f t="shared" si="0"/>
        <v>175</v>
      </c>
    </row>
    <row r="17" spans="1:10" ht="15" customHeight="1">
      <c r="A17" s="17">
        <v>16</v>
      </c>
      <c r="B17" s="18">
        <v>46061</v>
      </c>
      <c r="C17" s="17" t="s">
        <v>32</v>
      </c>
      <c r="D17" s="17" t="s">
        <v>20</v>
      </c>
      <c r="E17" s="17" t="s">
        <v>53</v>
      </c>
      <c r="F17" s="17" t="s">
        <v>35</v>
      </c>
      <c r="G17" s="17" t="s">
        <v>45</v>
      </c>
      <c r="H17" s="17">
        <v>2</v>
      </c>
      <c r="I17" s="17">
        <v>145</v>
      </c>
      <c r="J17" s="17">
        <f t="shared" si="0"/>
        <v>290</v>
      </c>
    </row>
    <row r="18" spans="1:10" ht="15" customHeight="1">
      <c r="A18" s="17">
        <v>17</v>
      </c>
      <c r="B18" s="18">
        <v>46062</v>
      </c>
      <c r="C18" s="17" t="s">
        <v>32</v>
      </c>
      <c r="D18" s="17" t="s">
        <v>25</v>
      </c>
      <c r="E18" s="17" t="s">
        <v>49</v>
      </c>
      <c r="F18" s="17" t="s">
        <v>38</v>
      </c>
      <c r="G18" s="17" t="s">
        <v>44</v>
      </c>
      <c r="H18" s="17">
        <v>1</v>
      </c>
      <c r="I18" s="17">
        <v>120</v>
      </c>
      <c r="J18" s="17">
        <f t="shared" si="0"/>
        <v>120</v>
      </c>
    </row>
    <row r="19" spans="1:10" ht="15" customHeight="1">
      <c r="A19" s="17">
        <v>18</v>
      </c>
      <c r="B19" s="18">
        <v>46063</v>
      </c>
      <c r="C19" s="17" t="s">
        <v>32</v>
      </c>
      <c r="D19" s="17" t="s">
        <v>22</v>
      </c>
      <c r="E19" s="17" t="s">
        <v>50</v>
      </c>
      <c r="F19" s="17" t="s">
        <v>17</v>
      </c>
      <c r="G19" s="17" t="s">
        <v>43</v>
      </c>
      <c r="H19" s="17">
        <v>4</v>
      </c>
      <c r="I19" s="17">
        <v>55</v>
      </c>
      <c r="J19" s="17">
        <f t="shared" si="0"/>
        <v>220</v>
      </c>
    </row>
    <row r="20" spans="1:10" ht="15" customHeight="1">
      <c r="A20" s="17">
        <v>19</v>
      </c>
      <c r="B20" s="18">
        <v>46065</v>
      </c>
      <c r="C20" s="17" t="s">
        <v>32</v>
      </c>
      <c r="D20" s="17" t="s">
        <v>14</v>
      </c>
      <c r="E20" s="17" t="s">
        <v>51</v>
      </c>
      <c r="F20" s="17" t="s">
        <v>21</v>
      </c>
      <c r="G20" s="17" t="s">
        <v>44</v>
      </c>
      <c r="H20" s="17">
        <v>6</v>
      </c>
      <c r="I20" s="17">
        <v>75</v>
      </c>
      <c r="J20" s="17">
        <f t="shared" si="0"/>
        <v>450</v>
      </c>
    </row>
    <row r="21" spans="1:10" ht="15" customHeight="1">
      <c r="A21" s="17">
        <v>20</v>
      </c>
      <c r="B21" s="18">
        <v>46066</v>
      </c>
      <c r="C21" s="17" t="s">
        <v>32</v>
      </c>
      <c r="D21" s="17" t="s">
        <v>16</v>
      </c>
      <c r="E21" s="17" t="s">
        <v>49</v>
      </c>
      <c r="F21" s="17" t="s">
        <v>36</v>
      </c>
      <c r="G21" s="17" t="s">
        <v>44</v>
      </c>
      <c r="H21" s="17">
        <v>2</v>
      </c>
      <c r="I21" s="17">
        <v>170</v>
      </c>
      <c r="J21" s="17">
        <f t="shared" si="0"/>
        <v>340</v>
      </c>
    </row>
    <row r="22" spans="1:10" ht="15" customHeight="1">
      <c r="A22" s="17">
        <v>21</v>
      </c>
      <c r="B22" s="18">
        <v>46082</v>
      </c>
      <c r="C22" s="17" t="s">
        <v>33</v>
      </c>
      <c r="D22" s="17" t="s">
        <v>26</v>
      </c>
      <c r="E22" s="17" t="s">
        <v>49</v>
      </c>
      <c r="F22" s="17" t="s">
        <v>37</v>
      </c>
      <c r="G22" s="17" t="s">
        <v>42</v>
      </c>
      <c r="H22" s="17">
        <v>2</v>
      </c>
      <c r="I22" s="17">
        <v>120</v>
      </c>
      <c r="J22" s="17">
        <f t="shared" si="0"/>
        <v>240</v>
      </c>
    </row>
    <row r="23" spans="1:10" ht="15" customHeight="1">
      <c r="A23" s="17">
        <v>22</v>
      </c>
      <c r="B23" s="18">
        <v>46083</v>
      </c>
      <c r="C23" s="17" t="s">
        <v>33</v>
      </c>
      <c r="D23" s="17" t="s">
        <v>24</v>
      </c>
      <c r="E23" s="17" t="s">
        <v>50</v>
      </c>
      <c r="F23" s="17" t="s">
        <v>17</v>
      </c>
      <c r="G23" s="17" t="s">
        <v>43</v>
      </c>
      <c r="H23" s="17">
        <v>3</v>
      </c>
      <c r="I23" s="17">
        <v>55</v>
      </c>
      <c r="J23" s="17">
        <f t="shared" si="0"/>
        <v>165</v>
      </c>
    </row>
    <row r="24" spans="1:10" ht="15" customHeight="1">
      <c r="A24" s="17">
        <v>23</v>
      </c>
      <c r="B24" s="18">
        <v>46084</v>
      </c>
      <c r="C24" s="17" t="s">
        <v>33</v>
      </c>
      <c r="D24" s="17" t="s">
        <v>18</v>
      </c>
      <c r="E24" s="17" t="s">
        <v>51</v>
      </c>
      <c r="F24" s="17" t="s">
        <v>23</v>
      </c>
      <c r="G24" s="17" t="s">
        <v>43</v>
      </c>
      <c r="H24" s="17">
        <v>5</v>
      </c>
      <c r="I24" s="17">
        <v>85</v>
      </c>
      <c r="J24" s="17">
        <f t="shared" si="0"/>
        <v>425</v>
      </c>
    </row>
    <row r="25" spans="1:10" ht="15" customHeight="1">
      <c r="A25" s="17">
        <v>24</v>
      </c>
      <c r="B25" s="18">
        <v>46086</v>
      </c>
      <c r="C25" s="17" t="s">
        <v>33</v>
      </c>
      <c r="D25" s="17" t="s">
        <v>27</v>
      </c>
      <c r="E25" s="17" t="s">
        <v>52</v>
      </c>
      <c r="F25" s="17" t="s">
        <v>38</v>
      </c>
      <c r="G25" s="17" t="s">
        <v>44</v>
      </c>
      <c r="H25" s="17">
        <v>2</v>
      </c>
      <c r="I25" s="17">
        <v>120</v>
      </c>
      <c r="J25" s="17">
        <f t="shared" si="0"/>
        <v>240</v>
      </c>
    </row>
    <row r="26" spans="1:10" ht="15" customHeight="1">
      <c r="A26" s="17">
        <v>25</v>
      </c>
      <c r="B26" s="18">
        <v>46087</v>
      </c>
      <c r="C26" s="17" t="s">
        <v>33</v>
      </c>
      <c r="D26" s="17" t="s">
        <v>28</v>
      </c>
      <c r="E26" s="17" t="s">
        <v>49</v>
      </c>
      <c r="F26" s="17" t="s">
        <v>39</v>
      </c>
      <c r="G26" s="17" t="s">
        <v>44</v>
      </c>
      <c r="H26" s="17">
        <v>3</v>
      </c>
      <c r="I26" s="17">
        <v>60</v>
      </c>
      <c r="J26" s="17">
        <f t="shared" si="0"/>
        <v>180</v>
      </c>
    </row>
    <row r="27" spans="1:10" ht="15" customHeight="1">
      <c r="A27" s="17">
        <v>26</v>
      </c>
      <c r="B27" s="18">
        <v>46089</v>
      </c>
      <c r="C27" s="17" t="s">
        <v>33</v>
      </c>
      <c r="D27" s="17" t="s">
        <v>20</v>
      </c>
      <c r="E27" s="17" t="s">
        <v>53</v>
      </c>
      <c r="F27" s="17" t="s">
        <v>21</v>
      </c>
      <c r="G27" s="17" t="s">
        <v>44</v>
      </c>
      <c r="H27" s="17">
        <v>2</v>
      </c>
      <c r="I27" s="17">
        <v>75</v>
      </c>
      <c r="J27" s="17">
        <f t="shared" si="0"/>
        <v>150</v>
      </c>
    </row>
    <row r="28" spans="1:10" ht="15" customHeight="1">
      <c r="A28" s="17">
        <v>27</v>
      </c>
      <c r="B28" s="18">
        <v>46091</v>
      </c>
      <c r="C28" s="17" t="s">
        <v>33</v>
      </c>
      <c r="D28" s="17" t="s">
        <v>25</v>
      </c>
      <c r="E28" s="17" t="s">
        <v>49</v>
      </c>
      <c r="F28" s="17" t="s">
        <v>19</v>
      </c>
      <c r="G28" s="17" t="s">
        <v>45</v>
      </c>
      <c r="H28" s="17">
        <v>4</v>
      </c>
      <c r="I28" s="17">
        <v>35</v>
      </c>
      <c r="J28" s="17">
        <f t="shared" si="0"/>
        <v>140</v>
      </c>
    </row>
    <row r="29" spans="1:10" ht="15" customHeight="1">
      <c r="A29" s="17">
        <v>28</v>
      </c>
      <c r="B29" s="18">
        <v>46093</v>
      </c>
      <c r="C29" s="17" t="s">
        <v>33</v>
      </c>
      <c r="D29" s="17" t="s">
        <v>22</v>
      </c>
      <c r="E29" s="17" t="s">
        <v>50</v>
      </c>
      <c r="F29" s="17" t="s">
        <v>36</v>
      </c>
      <c r="G29" s="17" t="s">
        <v>44</v>
      </c>
      <c r="H29" s="17">
        <v>1</v>
      </c>
      <c r="I29" s="17">
        <v>170</v>
      </c>
      <c r="J29" s="17">
        <f t="shared" si="0"/>
        <v>170</v>
      </c>
    </row>
    <row r="30" spans="1:10" ht="15" customHeight="1">
      <c r="A30" s="17">
        <v>29</v>
      </c>
      <c r="B30" s="18">
        <v>46096</v>
      </c>
      <c r="C30" s="17" t="s">
        <v>33</v>
      </c>
      <c r="D30" s="17" t="s">
        <v>14</v>
      </c>
      <c r="E30" s="17" t="s">
        <v>51</v>
      </c>
      <c r="F30" s="17" t="s">
        <v>35</v>
      </c>
      <c r="G30" s="17" t="s">
        <v>45</v>
      </c>
      <c r="H30" s="17">
        <v>2</v>
      </c>
      <c r="I30" s="17">
        <v>145</v>
      </c>
      <c r="J30" s="17">
        <f t="shared" si="0"/>
        <v>290</v>
      </c>
    </row>
    <row r="31" spans="1:10" ht="15" customHeight="1">
      <c r="A31" s="17">
        <v>30</v>
      </c>
      <c r="B31" s="18">
        <v>46099</v>
      </c>
      <c r="C31" s="17" t="s">
        <v>33</v>
      </c>
      <c r="D31" s="17" t="s">
        <v>16</v>
      </c>
      <c r="E31" s="17" t="s">
        <v>49</v>
      </c>
      <c r="F31" s="17" t="s">
        <v>15</v>
      </c>
      <c r="G31" s="17" t="s">
        <v>41</v>
      </c>
      <c r="H31" s="17">
        <v>6</v>
      </c>
      <c r="I31" s="17">
        <v>45</v>
      </c>
      <c r="J31" s="17">
        <f t="shared" si="0"/>
        <v>270</v>
      </c>
    </row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70E1B14-D480-4E02-A312-0F0614ADDB82}" filter="1" showAutoFilter="1">
      <pageMargins left="0.7" right="0.7" top="0.75" bottom="0.75" header="0.3" footer="0.3"/>
      <autoFilter ref="A1:J31" xr:uid="{5E175CF4-0C1A-4061-ACD5-91A81713269B}"/>
      <extLst>
        <ext uri="GoogleSheetsCustomDataVersion1">
          <go:sheetsCustomData xmlns:go="http://customooxmlschemas.google.com/" filterViewId="2030265377"/>
        </ext>
      </extLst>
    </customSheetView>
  </customSheetViews>
  <pageMargins left="0.75" right="0.75" top="1" bottom="1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showGridLines="0" workbookViewId="0"/>
  </sheetViews>
  <sheetFormatPr defaultColWidth="14.42578125" defaultRowHeight="15" customHeight="1"/>
  <cols>
    <col min="1" max="1" width="14" customWidth="1"/>
    <col min="2" max="2" width="12" customWidth="1"/>
    <col min="3" max="3" width="8.7109375" customWidth="1"/>
    <col min="4" max="5" width="12" customWidth="1"/>
    <col min="6" max="6" width="8.7109375" customWidth="1"/>
    <col min="7" max="7" width="10" customWidth="1"/>
    <col min="8" max="8" width="12" customWidth="1"/>
    <col min="9" max="9" width="8.7109375" customWidth="1"/>
    <col min="10" max="10" width="16" customWidth="1"/>
    <col min="11" max="11" width="12" customWidth="1"/>
    <col min="12" max="26" width="8.7109375" customWidth="1"/>
  </cols>
  <sheetData>
    <row r="1" spans="1:11" ht="15" customHeight="1">
      <c r="A1" s="19" t="s">
        <v>93</v>
      </c>
      <c r="B1" s="19" t="s">
        <v>30</v>
      </c>
      <c r="D1" s="19" t="s">
        <v>40</v>
      </c>
      <c r="E1" s="19" t="s">
        <v>30</v>
      </c>
      <c r="G1" s="19" t="s">
        <v>29</v>
      </c>
      <c r="H1" s="19" t="s">
        <v>30</v>
      </c>
      <c r="J1" s="19" t="s">
        <v>94</v>
      </c>
      <c r="K1" s="19" t="s">
        <v>30</v>
      </c>
    </row>
    <row r="2" spans="1:11" ht="15" customHeight="1">
      <c r="A2" s="20" t="s">
        <v>23</v>
      </c>
      <c r="B2" s="20">
        <f>SUMIFS(Data!$J$2:$J$31,Data!$F$2:$F$31,$A2,Data!$C$2:$C$31,IF(Dashboard!$C$4="All","*",Dashboard!$C$4),Data!$G$2:$G$31,IF(Dashboard!$C$5="All","*",Dashboard!$C$5),Data!$D$2:$D$31,IF(Dashboard!$C$6="All","*",Dashboard!$C$6))</f>
        <v>850</v>
      </c>
      <c r="D2" s="20" t="s">
        <v>44</v>
      </c>
      <c r="E2" s="20">
        <f>SUMIFS(Data!$J$2:$J$31,Data!$G$2:$G$31,$D2,Data!$C$2:$C$31,IF(Dashboard!$C$4="All","*",Dashboard!$C$4),Data!$D$2:$D$31,IF(Dashboard!$C$6="All","*",Dashboard!$C$6))</f>
        <v>2645</v>
      </c>
      <c r="G2" s="20" t="s">
        <v>31</v>
      </c>
      <c r="H2" s="20">
        <f>SUMIFS(Data!$J$2:$J$31,Data!$C$2:$C$31,$G2,Data!$G$2:$G$31,IF(Dashboard!$C$5="All","*",Dashboard!$C$5),Data!$D$2:$D$31,IF(Dashboard!$C$6="All","*",Dashboard!$C$6))</f>
        <v>1900</v>
      </c>
      <c r="J2" s="20" t="s">
        <v>14</v>
      </c>
      <c r="K2" s="20">
        <f>SUMIFS(Data!$J$2:$J$31,Data!$D$2:$D$31,$J2,Data!$C$2:$C$31,IF(Dashboard!$C$4="All","*",Dashboard!$C$4),Data!$G$2:$G$31,IF(Dashboard!$C$5="All","*",Dashboard!$C$5))</f>
        <v>910</v>
      </c>
    </row>
    <row r="3" spans="1:11" ht="15" customHeight="1">
      <c r="A3" s="20" t="s">
        <v>21</v>
      </c>
      <c r="B3" s="20">
        <f>SUMIFS(Data!$J$2:$J$31,Data!$F$2:$F$31,$A3,Data!$C$2:$C$31,IF(Dashboard!$C$4="All","*",Dashboard!$C$4),Data!$G$2:$G$31,IF(Dashboard!$C$5="All","*",Dashboard!$C$5),Data!$D$2:$D$31,IF(Dashboard!$C$6="All","*",Dashboard!$C$6))</f>
        <v>825</v>
      </c>
      <c r="D3" s="20" t="s">
        <v>43</v>
      </c>
      <c r="E3" s="20">
        <f>SUMIFS(Data!$J$2:$J$31,Data!$G$2:$G$31,$D3,Data!$C$2:$C$31,IF(Dashboard!$C$4="All","*",Dashboard!$C$4),Data!$D$2:$D$31,IF(Dashboard!$C$6="All","*",Dashboard!$C$6))</f>
        <v>1565</v>
      </c>
      <c r="G3" s="20" t="s">
        <v>32</v>
      </c>
      <c r="H3" s="20">
        <f>SUMIFS(Data!$J$2:$J$31,Data!$C$2:$C$31,$G3,Data!$G$2:$G$31,IF(Dashboard!$C$5="All","*",Dashboard!$C$5),Data!$D$2:$D$31,IF(Dashboard!$C$6="All","*",Dashboard!$C$6))</f>
        <v>2380</v>
      </c>
      <c r="J3" s="20" t="s">
        <v>16</v>
      </c>
      <c r="K3" s="20">
        <f>SUMIFS(Data!$J$2:$J$31,Data!$D$2:$D$31,$J3,Data!$C$2:$C$31,IF(Dashboard!$C$4="All","*",Dashboard!$C$4),Data!$G$2:$G$31,IF(Dashboard!$C$5="All","*",Dashboard!$C$5))</f>
        <v>850</v>
      </c>
    </row>
    <row r="4" spans="1:11" ht="15" customHeight="1">
      <c r="A4" s="20" t="s">
        <v>35</v>
      </c>
      <c r="B4" s="20">
        <f>SUMIFS(Data!$J$2:$J$31,Data!$F$2:$F$31,$A4,Data!$C$2:$C$31,IF(Dashboard!$C$4="All","*",Dashboard!$C$4),Data!$G$2:$G$31,IF(Dashboard!$C$5="All","*",Dashboard!$C$5),Data!$D$2:$D$31,IF(Dashboard!$C$6="All","*",Dashboard!$C$6))</f>
        <v>725</v>
      </c>
      <c r="D4" s="20" t="s">
        <v>45</v>
      </c>
      <c r="E4" s="20">
        <f>SUMIFS(Data!$J$2:$J$31,Data!$G$2:$G$31,$D4,Data!$C$2:$C$31,IF(Dashboard!$C$4="All","*",Dashboard!$C$4),Data!$D$2:$D$31,IF(Dashboard!$C$6="All","*",Dashboard!$C$6))</f>
        <v>1110</v>
      </c>
      <c r="G4" s="20" t="s">
        <v>33</v>
      </c>
      <c r="H4" s="20">
        <f>SUMIFS(Data!$J$2:$J$31,Data!$C$2:$C$31,$G4,Data!$G$2:$G$31,IF(Dashboard!$C$5="All","*",Dashboard!$C$5),Data!$D$2:$D$31,IF(Dashboard!$C$6="All","*",Dashboard!$C$6))</f>
        <v>2270</v>
      </c>
      <c r="J4" s="20" t="s">
        <v>18</v>
      </c>
      <c r="K4" s="20">
        <f>SUMIFS(Data!$J$2:$J$31,Data!$D$2:$D$31,$J4,Data!$C$2:$C$31,IF(Dashboard!$C$4="All","*",Dashboard!$C$4),Data!$G$2:$G$31,IF(Dashboard!$C$5="All","*",Dashboard!$C$5))</f>
        <v>680</v>
      </c>
    </row>
    <row r="5" spans="1:11" ht="15" customHeight="1">
      <c r="A5" s="20" t="s">
        <v>17</v>
      </c>
      <c r="B5" s="20">
        <f>SUMIFS(Data!$J$2:$J$31,Data!$F$2:$F$31,$A5,Data!$C$2:$C$31,IF(Dashboard!$C$4="All","*",Dashboard!$C$4),Data!$G$2:$G$31,IF(Dashboard!$C$5="All","*",Dashboard!$C$5),Data!$D$2:$D$31,IF(Dashboard!$C$6="All","*",Dashboard!$C$6))</f>
        <v>715</v>
      </c>
      <c r="D5" s="20" t="s">
        <v>41</v>
      </c>
      <c r="E5" s="20">
        <f>SUMIFS(Data!$J$2:$J$31,Data!$G$2:$G$31,$D5,Data!$C$2:$C$31,IF(Dashboard!$C$4="All","*",Dashboard!$C$4),Data!$D$2:$D$31,IF(Dashboard!$C$6="All","*",Dashboard!$C$6))</f>
        <v>630</v>
      </c>
      <c r="J5" s="20" t="s">
        <v>20</v>
      </c>
      <c r="K5" s="20">
        <f>SUMIFS(Data!$J$2:$J$31,Data!$D$2:$D$31,$J5,Data!$C$2:$C$31,IF(Dashboard!$C$4="All","*",Dashboard!$C$4),Data!$G$2:$G$31,IF(Dashboard!$C$5="All","*",Dashboard!$C$5))</f>
        <v>680</v>
      </c>
    </row>
    <row r="6" spans="1:11" ht="15" customHeight="1">
      <c r="A6" s="20" t="s">
        <v>36</v>
      </c>
      <c r="B6" s="20">
        <f>SUMIFS(Data!$J$2:$J$31,Data!$F$2:$F$31,$A6,Data!$C$2:$C$31,IF(Dashboard!$C$4="All","*",Dashboard!$C$4),Data!$G$2:$G$31,IF(Dashboard!$C$5="All","*",Dashboard!$C$5),Data!$D$2:$D$31,IF(Dashboard!$C$6="All","*",Dashboard!$C$6))</f>
        <v>680</v>
      </c>
      <c r="D6" s="20" t="s">
        <v>42</v>
      </c>
      <c r="E6" s="20">
        <f>SUMIFS(Data!$J$2:$J$31,Data!$G$2:$G$31,$D6,Data!$C$2:$C$31,IF(Dashboard!$C$4="All","*",Dashboard!$C$4),Data!$D$2:$D$31,IF(Dashboard!$C$6="All","*",Dashboard!$C$6))</f>
        <v>600</v>
      </c>
      <c r="J6" s="20" t="s">
        <v>22</v>
      </c>
      <c r="K6" s="20">
        <f>SUMIFS(Data!$J$2:$J$31,Data!$D$2:$D$31,$J6,Data!$C$2:$C$31,IF(Dashboard!$C$4="All","*",Dashboard!$C$4),Data!$G$2:$G$31,IF(Dashboard!$C$5="All","*",Dashboard!$C$5))</f>
        <v>615</v>
      </c>
    </row>
    <row r="7" spans="1:11" ht="15" customHeight="1">
      <c r="A7" s="20" t="s">
        <v>15</v>
      </c>
      <c r="B7" s="20">
        <f>SUMIFS(Data!$J$2:$J$31,Data!$F$2:$F$31,$A7,Data!$C$2:$C$31,IF(Dashboard!$C$4="All","*",Dashboard!$C$4),Data!$G$2:$G$31,IF(Dashboard!$C$5="All","*",Dashboard!$C$5),Data!$D$2:$D$31,IF(Dashboard!$C$6="All","*",Dashboard!$C$6))</f>
        <v>630</v>
      </c>
      <c r="J7" s="20" t="s">
        <v>24</v>
      </c>
      <c r="K7" s="20">
        <f>SUMIFS(Data!$J$2:$J$31,Data!$D$2:$D$31,$J7,Data!$C$2:$C$31,IF(Dashboard!$C$4="All","*",Dashboard!$C$4),Data!$G$2:$G$31,IF(Dashboard!$C$5="All","*",Dashboard!$C$5))</f>
        <v>590</v>
      </c>
    </row>
    <row r="8" spans="1:11" ht="15" customHeight="1">
      <c r="A8" s="20" t="s">
        <v>37</v>
      </c>
      <c r="B8" s="20">
        <f>SUMIFS(Data!$J$2:$J$31,Data!$F$2:$F$31,$A8,Data!$C$2:$C$31,IF(Dashboard!$C$4="All","*",Dashboard!$C$4),Data!$G$2:$G$31,IF(Dashboard!$C$5="All","*",Dashboard!$C$5),Data!$D$2:$D$31,IF(Dashboard!$C$6="All","*",Dashboard!$C$6))</f>
        <v>600</v>
      </c>
      <c r="J8" s="20" t="s">
        <v>25</v>
      </c>
      <c r="K8" s="20">
        <f>SUMIFS(Data!$J$2:$J$31,Data!$D$2:$D$31,$J8,Data!$C$2:$C$31,IF(Dashboard!$C$4="All","*",Dashboard!$C$4),Data!$G$2:$G$31,IF(Dashboard!$C$5="All","*",Dashboard!$C$5))</f>
        <v>590</v>
      </c>
    </row>
    <row r="9" spans="1:11" ht="15" customHeight="1">
      <c r="A9" s="20" t="s">
        <v>38</v>
      </c>
      <c r="B9" s="20">
        <f>SUMIFS(Data!$J$2:$J$31,Data!$F$2:$F$31,$A9,Data!$C$2:$C$31,IF(Dashboard!$C$4="All","*",Dashboard!$C$4),Data!$G$2:$G$31,IF(Dashboard!$C$5="All","*",Dashboard!$C$5),Data!$D$2:$D$31,IF(Dashboard!$C$6="All","*",Dashboard!$C$6))</f>
        <v>600</v>
      </c>
      <c r="J9" s="20" t="s">
        <v>26</v>
      </c>
      <c r="K9" s="20">
        <f>SUMIFS(Data!$J$2:$J$31,Data!$D$2:$D$31,$J9,Data!$C$2:$C$31,IF(Dashboard!$C$4="All","*",Dashboard!$C$4),Data!$G$2:$G$31,IF(Dashboard!$C$5="All","*",Dashboard!$C$5))</f>
        <v>585</v>
      </c>
    </row>
    <row r="10" spans="1:11" ht="15" customHeight="1">
      <c r="A10" s="20" t="s">
        <v>39</v>
      </c>
      <c r="B10" s="20">
        <f>SUMIFS(Data!$J$2:$J$31,Data!$F$2:$F$31,$A10,Data!$C$2:$C$31,IF(Dashboard!$C$4="All","*",Dashboard!$C$4),Data!$G$2:$G$31,IF(Dashboard!$C$5="All","*",Dashboard!$C$5),Data!$D$2:$D$31,IF(Dashboard!$C$6="All","*",Dashboard!$C$6))</f>
        <v>540</v>
      </c>
      <c r="J10" s="20" t="s">
        <v>27</v>
      </c>
      <c r="K10" s="20">
        <f>SUMIFS(Data!$J$2:$J$31,Data!$D$2:$D$31,$J10,Data!$C$2:$C$31,IF(Dashboard!$C$4="All","*",Dashboard!$C$4),Data!$G$2:$G$31,IF(Dashboard!$C$5="All","*",Dashboard!$C$5))</f>
        <v>550</v>
      </c>
    </row>
    <row r="11" spans="1:11" ht="15" customHeight="1">
      <c r="A11" s="20" t="s">
        <v>19</v>
      </c>
      <c r="B11" s="20">
        <f>SUMIFS(Data!$J$2:$J$31,Data!$F$2:$F$31,$A11,Data!$C$2:$C$31,IF(Dashboard!$C$4="All","*",Dashboard!$C$4),Data!$G$2:$G$31,IF(Dashboard!$C$5="All","*",Dashboard!$C$5),Data!$D$2:$D$31,IF(Dashboard!$C$6="All","*",Dashboard!$C$6))</f>
        <v>385</v>
      </c>
      <c r="J11" s="20" t="s">
        <v>28</v>
      </c>
      <c r="K11" s="20">
        <f>SUMIFS(Data!$J$2:$J$31,Data!$D$2:$D$31,$J11,Data!$C$2:$C$31,IF(Dashboard!$C$4="All","*",Dashboard!$C$4),Data!$G$2:$G$31,IF(Dashboard!$C$5="All","*",Dashboard!$C$5))</f>
        <v>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My Insights Tables</vt:lpstr>
      <vt:lpstr>ALL CLEAN TABLES</vt:lpstr>
      <vt:lpstr>PIVOT TABLES</vt:lpstr>
      <vt:lpstr>Data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lenovo</cp:lastModifiedBy>
  <dcterms:created xsi:type="dcterms:W3CDTF">2026-07-11T14:23:43Z</dcterms:created>
  <dcterms:modified xsi:type="dcterms:W3CDTF">2026-07-19T13:08:59Z</dcterms:modified>
</cp:coreProperties>
</file>